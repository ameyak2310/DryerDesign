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ryer\Drying Apparatus\DesignFiles\"/>
    </mc:Choice>
  </mc:AlternateContent>
  <bookViews>
    <workbookView xWindow="0" yWindow="0" windowWidth="19515" windowHeight="8340"/>
  </bookViews>
  <sheets>
    <sheet name="Ameya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3" l="1"/>
  <c r="H59" i="3"/>
  <c r="H60" i="3" s="1"/>
  <c r="I59" i="3"/>
  <c r="J59" i="3"/>
  <c r="K59" i="3"/>
  <c r="L59" i="3"/>
  <c r="M59" i="3"/>
  <c r="F59" i="3"/>
  <c r="G67" i="3"/>
  <c r="G65" i="3"/>
  <c r="G60" i="3"/>
  <c r="G57" i="3"/>
  <c r="G55" i="3"/>
  <c r="G44" i="3"/>
  <c r="G33" i="3"/>
  <c r="G35" i="3" s="1"/>
  <c r="G37" i="3" s="1"/>
  <c r="G38" i="3" s="1"/>
  <c r="G40" i="3" s="1"/>
  <c r="G28" i="3"/>
  <c r="G30" i="3" s="1"/>
  <c r="G32" i="3" s="1"/>
  <c r="G26" i="3"/>
  <c r="G18" i="3"/>
  <c r="G20" i="3" s="1"/>
  <c r="G22" i="3" s="1"/>
  <c r="G11" i="3"/>
  <c r="G10" i="3"/>
  <c r="G9" i="3"/>
  <c r="G5" i="3"/>
  <c r="G91" i="3" s="1"/>
  <c r="H67" i="3"/>
  <c r="H65" i="3"/>
  <c r="H57" i="3"/>
  <c r="H55" i="3"/>
  <c r="H44" i="3"/>
  <c r="H33" i="3"/>
  <c r="H35" i="3" s="1"/>
  <c r="H37" i="3" s="1"/>
  <c r="H38" i="3" s="1"/>
  <c r="H40" i="3" s="1"/>
  <c r="H26" i="3"/>
  <c r="H28" i="3" s="1"/>
  <c r="H30" i="3" s="1"/>
  <c r="H32" i="3" s="1"/>
  <c r="H18" i="3"/>
  <c r="H20" i="3" s="1"/>
  <c r="H22" i="3" s="1"/>
  <c r="H11" i="3"/>
  <c r="H10" i="3"/>
  <c r="H9" i="3"/>
  <c r="H5" i="3"/>
  <c r="H91" i="3" s="1"/>
  <c r="I57" i="3"/>
  <c r="J57" i="3"/>
  <c r="K57" i="3"/>
  <c r="L57" i="3"/>
  <c r="M57" i="3"/>
  <c r="F57" i="3"/>
  <c r="G7" i="3" l="1"/>
  <c r="G16" i="3"/>
  <c r="G13" i="3"/>
  <c r="G90" i="3"/>
  <c r="G92" i="3" s="1"/>
  <c r="G61" i="3"/>
  <c r="G81" i="3"/>
  <c r="G25" i="3"/>
  <c r="G45" i="3" s="1"/>
  <c r="G23" i="3"/>
  <c r="G76" i="3"/>
  <c r="G77" i="3"/>
  <c r="G72" i="3"/>
  <c r="G73" i="3" s="1"/>
  <c r="G74" i="3" s="1"/>
  <c r="G75" i="3" s="1"/>
  <c r="G86" i="3"/>
  <c r="H7" i="3"/>
  <c r="H16" i="3"/>
  <c r="H13" i="3"/>
  <c r="H61" i="3"/>
  <c r="H81" i="3" s="1"/>
  <c r="H76" i="3"/>
  <c r="H25" i="3"/>
  <c r="H45" i="3" s="1"/>
  <c r="H48" i="3" s="1"/>
  <c r="H23" i="3"/>
  <c r="H77" i="3"/>
  <c r="H72" i="3"/>
  <c r="H73" i="3" s="1"/>
  <c r="H74" i="3" s="1"/>
  <c r="H75" i="3" s="1"/>
  <c r="H90" i="3"/>
  <c r="H92" i="3" s="1"/>
  <c r="H86" i="3"/>
  <c r="I67" i="3"/>
  <c r="J67" i="3"/>
  <c r="K67" i="3"/>
  <c r="L67" i="3"/>
  <c r="M67" i="3"/>
  <c r="F67" i="3"/>
  <c r="I65" i="3"/>
  <c r="J65" i="3"/>
  <c r="K65" i="3"/>
  <c r="L65" i="3"/>
  <c r="M65" i="3"/>
  <c r="F65" i="3"/>
  <c r="I10" i="3"/>
  <c r="J10" i="3"/>
  <c r="K10" i="3"/>
  <c r="L10" i="3"/>
  <c r="M10" i="3"/>
  <c r="I11" i="3"/>
  <c r="J11" i="3"/>
  <c r="K11" i="3"/>
  <c r="L11" i="3"/>
  <c r="M11" i="3"/>
  <c r="F11" i="3"/>
  <c r="F10" i="3"/>
  <c r="M44" i="3"/>
  <c r="M33" i="3"/>
  <c r="M35" i="3" s="1"/>
  <c r="M37" i="3" s="1"/>
  <c r="M38" i="3" s="1"/>
  <c r="M40" i="3" s="1"/>
  <c r="M26" i="3"/>
  <c r="M28" i="3" s="1"/>
  <c r="M30" i="3" s="1"/>
  <c r="M32" i="3" s="1"/>
  <c r="M18" i="3"/>
  <c r="M20" i="3" s="1"/>
  <c r="M22" i="3" s="1"/>
  <c r="M55" i="3"/>
  <c r="M9" i="3"/>
  <c r="M5" i="3"/>
  <c r="M90" i="3" s="1"/>
  <c r="I55" i="3"/>
  <c r="J55" i="3"/>
  <c r="K55" i="3"/>
  <c r="L55" i="3"/>
  <c r="F55" i="3"/>
  <c r="L44" i="3"/>
  <c r="K44" i="3"/>
  <c r="L33" i="3"/>
  <c r="L35" i="3" s="1"/>
  <c r="L37" i="3" s="1"/>
  <c r="L38" i="3" s="1"/>
  <c r="L40" i="3" s="1"/>
  <c r="K33" i="3"/>
  <c r="K35" i="3" s="1"/>
  <c r="K37" i="3" s="1"/>
  <c r="K38" i="3" s="1"/>
  <c r="K40" i="3" s="1"/>
  <c r="L26" i="3"/>
  <c r="L28" i="3" s="1"/>
  <c r="L30" i="3" s="1"/>
  <c r="L32" i="3" s="1"/>
  <c r="K26" i="3"/>
  <c r="K28" i="3" s="1"/>
  <c r="K30" i="3" s="1"/>
  <c r="K32" i="3" s="1"/>
  <c r="L18" i="3"/>
  <c r="L20" i="3" s="1"/>
  <c r="L22" i="3" s="1"/>
  <c r="K18" i="3"/>
  <c r="K20" i="3" s="1"/>
  <c r="K22" i="3" s="1"/>
  <c r="L9" i="3"/>
  <c r="K9" i="3"/>
  <c r="L5" i="3"/>
  <c r="L7" i="3" s="1"/>
  <c r="K5" i="3"/>
  <c r="K86" i="3" s="1"/>
  <c r="J44" i="3"/>
  <c r="J33" i="3"/>
  <c r="J35" i="3" s="1"/>
  <c r="J37" i="3" s="1"/>
  <c r="J38" i="3" s="1"/>
  <c r="J40" i="3" s="1"/>
  <c r="J26" i="3"/>
  <c r="J28" i="3" s="1"/>
  <c r="J30" i="3" s="1"/>
  <c r="J32" i="3" s="1"/>
  <c r="J18" i="3"/>
  <c r="J20" i="3" s="1"/>
  <c r="J22" i="3" s="1"/>
  <c r="J9" i="3"/>
  <c r="J5" i="3"/>
  <c r="J7" i="3" s="1"/>
  <c r="I44" i="3"/>
  <c r="I33" i="3"/>
  <c r="I35" i="3" s="1"/>
  <c r="I37" i="3" s="1"/>
  <c r="I38" i="3" s="1"/>
  <c r="I40" i="3" s="1"/>
  <c r="I26" i="3"/>
  <c r="I28" i="3" s="1"/>
  <c r="I30" i="3" s="1"/>
  <c r="I32" i="3" s="1"/>
  <c r="I18" i="3"/>
  <c r="I20" i="3" s="1"/>
  <c r="I22" i="3" s="1"/>
  <c r="I9" i="3"/>
  <c r="I5" i="3"/>
  <c r="I90" i="3" s="1"/>
  <c r="F44" i="3"/>
  <c r="F33" i="3"/>
  <c r="F35" i="3" s="1"/>
  <c r="F37" i="3" s="1"/>
  <c r="F38" i="3" s="1"/>
  <c r="F40" i="3" s="1"/>
  <c r="F26" i="3"/>
  <c r="F28" i="3" s="1"/>
  <c r="F30" i="3" s="1"/>
  <c r="F32" i="3" s="1"/>
  <c r="F18" i="3"/>
  <c r="F20" i="3" s="1"/>
  <c r="F22" i="3" s="1"/>
  <c r="F9" i="3"/>
  <c r="F5" i="3"/>
  <c r="F86" i="3" s="1"/>
  <c r="G48" i="3" l="1"/>
  <c r="G49" i="3"/>
  <c r="G78" i="3" s="1"/>
  <c r="G70" i="3"/>
  <c r="G69" i="3"/>
  <c r="G85" i="3"/>
  <c r="H49" i="3"/>
  <c r="H78" i="3" s="1"/>
  <c r="H70" i="3"/>
  <c r="H69" i="3"/>
  <c r="H85" i="3"/>
  <c r="F72" i="3"/>
  <c r="J72" i="3"/>
  <c r="L72" i="3"/>
  <c r="K72" i="3"/>
  <c r="M72" i="3"/>
  <c r="I72" i="3"/>
  <c r="F91" i="3"/>
  <c r="J91" i="3"/>
  <c r="M91" i="3"/>
  <c r="M92" i="3" s="1"/>
  <c r="I91" i="3"/>
  <c r="I92" i="3" s="1"/>
  <c r="L91" i="3"/>
  <c r="K91" i="3"/>
  <c r="M86" i="3"/>
  <c r="I86" i="3"/>
  <c r="K90" i="3"/>
  <c r="F90" i="3"/>
  <c r="L86" i="3"/>
  <c r="J90" i="3"/>
  <c r="J86" i="3"/>
  <c r="L90" i="3"/>
  <c r="K60" i="3"/>
  <c r="K61" i="3" s="1"/>
  <c r="F60" i="3"/>
  <c r="F61" i="3" s="1"/>
  <c r="L60" i="3"/>
  <c r="L61" i="3" s="1"/>
  <c r="J60" i="3"/>
  <c r="J61" i="3" s="1"/>
  <c r="M60" i="3"/>
  <c r="M61" i="3" s="1"/>
  <c r="I60" i="3"/>
  <c r="I61" i="3" s="1"/>
  <c r="M13" i="3"/>
  <c r="I16" i="3"/>
  <c r="M16" i="3"/>
  <c r="F16" i="3"/>
  <c r="J13" i="3"/>
  <c r="K13" i="3"/>
  <c r="I13" i="3"/>
  <c r="F13" i="3"/>
  <c r="L13" i="3"/>
  <c r="K16" i="3"/>
  <c r="I7" i="3"/>
  <c r="M7" i="3"/>
  <c r="M23" i="3"/>
  <c r="M25" i="3"/>
  <c r="M45" i="3" s="1"/>
  <c r="M48" i="3" s="1"/>
  <c r="K23" i="3"/>
  <c r="K25" i="3"/>
  <c r="K45" i="3" s="1"/>
  <c r="K48" i="3" s="1"/>
  <c r="L23" i="3"/>
  <c r="L25" i="3"/>
  <c r="L45" i="3" s="1"/>
  <c r="L48" i="3" s="1"/>
  <c r="L16" i="3"/>
  <c r="K7" i="3"/>
  <c r="J23" i="3"/>
  <c r="J25" i="3"/>
  <c r="J45" i="3" s="1"/>
  <c r="J48" i="3" s="1"/>
  <c r="J16" i="3"/>
  <c r="I25" i="3"/>
  <c r="I45" i="3" s="1"/>
  <c r="I23" i="3"/>
  <c r="F7" i="3"/>
  <c r="F25" i="3"/>
  <c r="F45" i="3" s="1"/>
  <c r="F23" i="3"/>
  <c r="L92" i="3" l="1"/>
  <c r="F92" i="3"/>
  <c r="G87" i="3"/>
  <c r="G88" i="3" s="1"/>
  <c r="G82" i="3"/>
  <c r="G83" i="3" s="1"/>
  <c r="G71" i="3"/>
  <c r="G79" i="3" s="1"/>
  <c r="G80" i="3" s="1"/>
  <c r="J77" i="3"/>
  <c r="I73" i="3"/>
  <c r="I74" i="3" s="1"/>
  <c r="I75" i="3" s="1"/>
  <c r="L77" i="3"/>
  <c r="H87" i="3"/>
  <c r="H88" i="3" s="1"/>
  <c r="H82" i="3"/>
  <c r="H83" i="3" s="1"/>
  <c r="H71" i="3"/>
  <c r="H79" i="3" s="1"/>
  <c r="H80" i="3" s="1"/>
  <c r="K73" i="3"/>
  <c r="K74" i="3" s="1"/>
  <c r="K75" i="3" s="1"/>
  <c r="M77" i="3"/>
  <c r="J73" i="3"/>
  <c r="J74" i="3" s="1"/>
  <c r="J75" i="3" s="1"/>
  <c r="M73" i="3"/>
  <c r="M74" i="3" s="1"/>
  <c r="M75" i="3" s="1"/>
  <c r="L73" i="3"/>
  <c r="L74" i="3" s="1"/>
  <c r="L75" i="3" s="1"/>
  <c r="F77" i="3"/>
  <c r="I77" i="3"/>
  <c r="K77" i="3"/>
  <c r="F76" i="3"/>
  <c r="F73" i="3"/>
  <c r="F74" i="3" s="1"/>
  <c r="F75" i="3" s="1"/>
  <c r="K92" i="3"/>
  <c r="J92" i="3"/>
  <c r="J76" i="3"/>
  <c r="L76" i="3"/>
  <c r="I76" i="3"/>
  <c r="M76" i="3"/>
  <c r="K76" i="3"/>
  <c r="F81" i="3"/>
  <c r="K81" i="3"/>
  <c r="J85" i="3"/>
  <c r="L81" i="3"/>
  <c r="M69" i="3"/>
  <c r="J49" i="3"/>
  <c r="L49" i="3"/>
  <c r="I48" i="3"/>
  <c r="I49" i="3" s="1"/>
  <c r="I78" i="3" s="1"/>
  <c r="M49" i="3"/>
  <c r="K49" i="3"/>
  <c r="F48" i="3"/>
  <c r="F69" i="3" l="1"/>
  <c r="I70" i="3"/>
  <c r="I85" i="3"/>
  <c r="I69" i="3"/>
  <c r="L69" i="3"/>
  <c r="L85" i="3"/>
  <c r="K69" i="3"/>
  <c r="K85" i="3"/>
  <c r="I81" i="3"/>
  <c r="J81" i="3"/>
  <c r="J69" i="3"/>
  <c r="F70" i="3"/>
  <c r="F82" i="3" s="1"/>
  <c r="F83" i="3" s="1"/>
  <c r="F85" i="3"/>
  <c r="J70" i="3"/>
  <c r="M70" i="3"/>
  <c r="M85" i="3"/>
  <c r="M81" i="3"/>
  <c r="L78" i="3"/>
  <c r="K78" i="3"/>
  <c r="J78" i="3"/>
  <c r="M78" i="3"/>
  <c r="L70" i="3"/>
  <c r="K70" i="3"/>
  <c r="F49" i="3"/>
  <c r="F78" i="3" s="1"/>
  <c r="L71" i="3" l="1"/>
  <c r="L79" i="3" s="1"/>
  <c r="L82" i="3"/>
  <c r="L83" i="3" s="1"/>
  <c r="L87" i="3"/>
  <c r="L88" i="3" s="1"/>
  <c r="M71" i="3"/>
  <c r="M79" i="3" s="1"/>
  <c r="M80" i="3" s="1"/>
  <c r="M87" i="3"/>
  <c r="M82" i="3"/>
  <c r="M83" i="3" s="1"/>
  <c r="I71" i="3"/>
  <c r="I79" i="3" s="1"/>
  <c r="I80" i="3" s="1"/>
  <c r="I87" i="3"/>
  <c r="I88" i="3" s="1"/>
  <c r="I82" i="3"/>
  <c r="K71" i="3"/>
  <c r="K79" i="3" s="1"/>
  <c r="K80" i="3" s="1"/>
  <c r="K82" i="3"/>
  <c r="K83" i="3" s="1"/>
  <c r="K87" i="3"/>
  <c r="K88" i="3" s="1"/>
  <c r="M88" i="3"/>
  <c r="J71" i="3"/>
  <c r="J79" i="3" s="1"/>
  <c r="J80" i="3" s="1"/>
  <c r="J87" i="3"/>
  <c r="J88" i="3" s="1"/>
  <c r="J82" i="3"/>
  <c r="J83" i="3" s="1"/>
  <c r="I83" i="3"/>
  <c r="F71" i="3"/>
  <c r="F79" i="3" s="1"/>
  <c r="F87" i="3"/>
  <c r="F88" i="3" s="1"/>
  <c r="L80" i="3"/>
  <c r="F80" i="3" l="1"/>
</calcChain>
</file>

<file path=xl/sharedStrings.xml><?xml version="1.0" encoding="utf-8"?>
<sst xmlns="http://schemas.openxmlformats.org/spreadsheetml/2006/main" count="181" uniqueCount="115">
  <si>
    <t>Sr. No.</t>
  </si>
  <si>
    <t>Quantity</t>
  </si>
  <si>
    <t>Insulation Losses</t>
  </si>
  <si>
    <t>Capacity of Dryer per batch</t>
  </si>
  <si>
    <t>Moisture content of grapes</t>
  </si>
  <si>
    <t>%</t>
  </si>
  <si>
    <t>Moisture to be evaporated</t>
  </si>
  <si>
    <t>Energy required for evaporations of water per Kg</t>
  </si>
  <si>
    <t>KJ/kg</t>
  </si>
  <si>
    <t>Units</t>
  </si>
  <si>
    <t>Energy required for heating dry mass of grapes</t>
  </si>
  <si>
    <t>Energy required for moisture evaporation</t>
  </si>
  <si>
    <t>Dry mass of grapes per batch</t>
  </si>
  <si>
    <t>Initial Temparature of Drymass (Ambient)</t>
  </si>
  <si>
    <t>Specific heat capacity of Grape Fruit</t>
  </si>
  <si>
    <t xml:space="preserve">KJ </t>
  </si>
  <si>
    <t>KJ</t>
  </si>
  <si>
    <t>Kg</t>
  </si>
  <si>
    <t>Energy Required for heating of Air</t>
  </si>
  <si>
    <t>Flow Rate of Air (approx)</t>
  </si>
  <si>
    <t>cfm</t>
  </si>
  <si>
    <t>cu.m/hr</t>
  </si>
  <si>
    <t>cu.m/s</t>
  </si>
  <si>
    <t>hours</t>
  </si>
  <si>
    <t>Total Quantity of air to be heated</t>
  </si>
  <si>
    <t>Cu.m</t>
  </si>
  <si>
    <t>Specific heat capacity of Air</t>
  </si>
  <si>
    <t>KJ/Kg-K</t>
  </si>
  <si>
    <t>Density of Air</t>
  </si>
  <si>
    <t>Kg/cu.m</t>
  </si>
  <si>
    <t>Approximate insulation losses</t>
  </si>
  <si>
    <t xml:space="preserve">Kg </t>
  </si>
  <si>
    <t>Energy consumed in heating of system components</t>
  </si>
  <si>
    <t>Trays</t>
  </si>
  <si>
    <t>sq.m</t>
  </si>
  <si>
    <t>Thickness of material</t>
  </si>
  <si>
    <t>mm</t>
  </si>
  <si>
    <t>cu. M</t>
  </si>
  <si>
    <t>Desity of SS Steel</t>
  </si>
  <si>
    <t xml:space="preserve">Kg  </t>
  </si>
  <si>
    <t>Weight of tray</t>
  </si>
  <si>
    <t>Total Weight of 15 Trays</t>
  </si>
  <si>
    <t>Body</t>
  </si>
  <si>
    <t>Size (50 cm x 50 cm)</t>
  </si>
  <si>
    <t>Size (50 cm x 50 cm x 37.5 cm)</t>
  </si>
  <si>
    <t>Total Volume of tray material</t>
  </si>
  <si>
    <t>Total Volume of body material</t>
  </si>
  <si>
    <t>cu.m</t>
  </si>
  <si>
    <t>Desity of FRP</t>
  </si>
  <si>
    <t>Weight of Body</t>
  </si>
  <si>
    <t>IO Ducts</t>
  </si>
  <si>
    <t>Size (10 cm x 10 to 50 cm x 37.5 cm)</t>
  </si>
  <si>
    <t>Total Volume of duct</t>
  </si>
  <si>
    <t>Total Weight of Body</t>
  </si>
  <si>
    <t>Total Weight of 2 ducts</t>
  </si>
  <si>
    <t>Specific heat capacity of SS Steel</t>
  </si>
  <si>
    <t>Specific heat capacity of FRP</t>
  </si>
  <si>
    <t>Specific heat capacity of MS Steel</t>
  </si>
  <si>
    <t>KJ-Kg-K</t>
  </si>
  <si>
    <t xml:space="preserve">KJ  </t>
  </si>
  <si>
    <t>Other</t>
  </si>
  <si>
    <t>Nuts, Bolts, Hinges, Rivets etc.</t>
  </si>
  <si>
    <t>Energy required for compensating losses (E)</t>
  </si>
  <si>
    <t>Energy Required for Moisture evaporation (A)</t>
  </si>
  <si>
    <t>Energy Required for heating of dry mass of grapes (B)</t>
  </si>
  <si>
    <t>Energy consumed by trays heat up(a)</t>
  </si>
  <si>
    <t>Energy consumed by trays heat up(b)</t>
  </si>
  <si>
    <t>Energy consumed by trays heat up©</t>
  </si>
  <si>
    <t>Energy consumed by trays heat up(d)</t>
  </si>
  <si>
    <t>Energy consumed in heating of system components(a+b+c+d=D)</t>
  </si>
  <si>
    <t>Specific heat capacity of water</t>
  </si>
  <si>
    <t>Energy</t>
  </si>
  <si>
    <t>Total Energy required bu the system (A + B + C + D)</t>
  </si>
  <si>
    <t>Final Temparature of Drymass (Exhaust Gas temp. )</t>
  </si>
  <si>
    <t>KJ/Kg</t>
  </si>
  <si>
    <t>Temparature</t>
  </si>
  <si>
    <t>RH</t>
  </si>
  <si>
    <t>Enthalpy</t>
  </si>
  <si>
    <t>Inlet Air</t>
  </si>
  <si>
    <t>Heated Air</t>
  </si>
  <si>
    <t>Exhaust Air</t>
  </si>
  <si>
    <t>Kg water/Kg dry air</t>
  </si>
  <si>
    <t>Humidity Ratio/Moisture Content</t>
  </si>
  <si>
    <t>Water in Supplied Air</t>
  </si>
  <si>
    <t>Water in exhaust gas</t>
  </si>
  <si>
    <t>Approximate time of experment</t>
  </si>
  <si>
    <t>Properties</t>
  </si>
  <si>
    <t>Quality</t>
  </si>
  <si>
    <t>Specific heat capacity of water vapor</t>
  </si>
  <si>
    <t>Energy Balance</t>
  </si>
  <si>
    <t>Energy added with Air</t>
  </si>
  <si>
    <t>Energy consumed by system</t>
  </si>
  <si>
    <t>Energy released by the system</t>
  </si>
  <si>
    <t>Energy added by heater</t>
  </si>
  <si>
    <t>Balance</t>
  </si>
  <si>
    <t>Mass Balance</t>
  </si>
  <si>
    <t>Mass of Moisture from Air(i/l)</t>
  </si>
  <si>
    <t>Mass of Moisture from Grapes(i/l)</t>
  </si>
  <si>
    <t>Mass of Moisture at outlet(o/l)</t>
  </si>
  <si>
    <t>Mass of Grapes(i/l)</t>
  </si>
  <si>
    <t>Mass of Grapes(o/l)</t>
  </si>
  <si>
    <t>Mass of Air (i/l)</t>
  </si>
  <si>
    <t>Mass of Air (o/l)</t>
  </si>
  <si>
    <t>deg. C</t>
  </si>
  <si>
    <t>KJ/Kg-deg. C</t>
  </si>
  <si>
    <t>Heater Capacity</t>
  </si>
  <si>
    <t>Energy needed to heat kg of air</t>
  </si>
  <si>
    <t>Total Energy required as per flow rate</t>
  </si>
  <si>
    <t>Power required</t>
  </si>
  <si>
    <t>KJ/hr</t>
  </si>
  <si>
    <t>K Watt</t>
  </si>
  <si>
    <t>Energy required for heating water of grapes to evaporation point</t>
  </si>
  <si>
    <t>Energy required for heating water of grapes to evaporation point (C)</t>
  </si>
  <si>
    <t>Average air velocity on tray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</si>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</sst>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Border="1"/>
    <xf numFmtId="0" fontId="2" fillId="0" borderId="2" xfId="0" applyFont="1" applyFill="1" applyBorder="1"/>
    <xf numFmtId="0" fontId="0" fillId="0" borderId="1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2" xfId="0" applyBorder="1" applyAlignment="1">
      <alignment horizontal="center"/>
    </xf>
    <xf numFmtId="2" fontId="0" fillId="0" borderId="0" xfId="0" applyNumberFormat="1" applyBorder="1"/>
    <xf numFmtId="2" fontId="0" fillId="0" borderId="0" xfId="0" applyNumberFormat="1" applyFill="1" applyBorder="1"/>
    <xf numFmtId="0" fontId="0" fillId="0" borderId="0" xfId="0" applyFill="1"/>
    <xf numFmtId="0" fontId="0" fillId="0" borderId="0" xfId="0" applyFill="1" applyBorder="1" applyAlignment="1">
      <alignment horizontal="left"/>
    </xf>
    <xf numFmtId="0" fontId="3" fillId="0" borderId="0" xfId="0" applyFont="1" applyBorder="1"/>
    <xf numFmtId="4" fontId="0" fillId="0" borderId="0" xfId="0" applyNumberFormat="1" applyBorder="1"/>
    <xf numFmtId="11" fontId="0" fillId="0" borderId="0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2" fontId="0" fillId="0" borderId="2" xfId="0" applyNumberFormat="1" applyBorder="1"/>
    <xf numFmtId="0" fontId="0" fillId="5" borderId="1" xfId="0" applyFill="1" applyBorder="1"/>
    <xf numFmtId="2" fontId="0" fillId="5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0" xfId="0" applyFill="1" applyBorder="1"/>
    <xf numFmtId="0" fontId="0" fillId="0" borderId="0" xfId="0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left"/>
    </xf>
    <xf numFmtId="0" fontId="0" fillId="4" borderId="0" xfId="0" applyFill="1" applyBorder="1"/>
    <xf numFmtId="0" fontId="2" fillId="4" borderId="0" xfId="0" applyFont="1" applyFill="1" applyBorder="1"/>
    <xf numFmtId="0" fontId="0" fillId="4" borderId="0" xfId="0" applyFill="1" applyBorder="1" applyAlignment="1">
      <alignment horizontal="left"/>
    </xf>
    <xf numFmtId="2" fontId="0" fillId="4" borderId="0" xfId="0" applyNumberFormat="1" applyFill="1" applyBorder="1"/>
    <xf numFmtId="0" fontId="1" fillId="0" borderId="0" xfId="0" applyFont="1" applyFill="1" applyBorder="1"/>
    <xf numFmtId="2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0" fontId="1" fillId="3" borderId="2" xfId="0" applyFont="1" applyFill="1" applyBorder="1"/>
    <xf numFmtId="0" fontId="0" fillId="3" borderId="2" xfId="0" applyFill="1" applyBorder="1"/>
    <xf numFmtId="0" fontId="1" fillId="3" borderId="2" xfId="0" applyFont="1" applyFill="1" applyBorder="1" applyAlignment="1">
      <alignment horizontal="left"/>
    </xf>
    <xf numFmtId="2" fontId="1" fillId="3" borderId="2" xfId="0" applyNumberFormat="1" applyFont="1" applyFill="1" applyBorder="1" applyAlignment="1">
      <alignment horizontal="right"/>
    </xf>
    <xf numFmtId="2" fontId="1" fillId="3" borderId="0" xfId="0" applyNumberFormat="1" applyFont="1" applyFill="1" applyBorder="1"/>
    <xf numFmtId="164" fontId="0" fillId="0" borderId="0" xfId="0" applyNumberFormat="1" applyFill="1" applyBorder="1"/>
    <xf numFmtId="2" fontId="1" fillId="3" borderId="2" xfId="0" applyNumberFormat="1" applyFont="1" applyFill="1" applyBorder="1"/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Fill="1" applyBorder="1" applyAlignment="1">
      <alignment horizontal="right"/>
    </xf>
    <xf numFmtId="2" fontId="4" fillId="0" borderId="0" xfId="0" applyNumberFormat="1" applyFont="1" applyBorder="1"/>
    <xf numFmtId="2" fontId="4" fillId="0" borderId="1" xfId="0" applyNumberFormat="1" applyFont="1" applyBorder="1"/>
    <xf numFmtId="11" fontId="0" fillId="0" borderId="2" xfId="0" applyNumberFormat="1" applyFill="1" applyBorder="1"/>
    <xf numFmtId="11" fontId="0" fillId="0" borderId="0" xfId="0" applyNumberFormat="1" applyFill="1" applyBorder="1"/>
    <xf numFmtId="11" fontId="4" fillId="0" borderId="1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workbookViewId="0">
      <selection activeCell="K8" sqref="K8"/>
    </sheetView>
  </sheetViews>
  <sheetFormatPr defaultRowHeight="15" x14ac:dyDescent="0.25"/>
  <cols>
    <col min="1" max="1" width="8.140625" customWidth="1"/>
    <col min="2" max="2" width="10.7109375" customWidth="1"/>
    <col min="3" max="3" width="12.85546875" customWidth="1"/>
    <col min="4" max="4" width="38.140625" customWidth="1"/>
    <col min="5" max="5" width="17.7109375" style="1" customWidth="1"/>
    <col min="6" max="12" width="10.7109375" customWidth="1"/>
    <col min="13" max="13" width="10.5703125" bestFit="1" customWidth="1"/>
  </cols>
  <sheetData>
    <row r="1" spans="1:13" x14ac:dyDescent="0.25">
      <c r="A1" s="30" t="s">
        <v>0</v>
      </c>
      <c r="B1" s="30" t="s">
        <v>71</v>
      </c>
      <c r="C1" s="30"/>
      <c r="D1" s="30"/>
      <c r="E1" s="30" t="s">
        <v>9</v>
      </c>
      <c r="F1" s="30" t="s">
        <v>1</v>
      </c>
      <c r="G1" s="30"/>
      <c r="H1" s="30"/>
      <c r="I1" s="30"/>
      <c r="J1" s="30"/>
      <c r="K1" s="30"/>
      <c r="L1" s="30"/>
      <c r="M1" s="30"/>
    </row>
    <row r="2" spans="1:13" x14ac:dyDescent="0.25">
      <c r="A2" s="17">
        <v>1</v>
      </c>
      <c r="B2" s="13" t="s">
        <v>11</v>
      </c>
      <c r="C2" s="14"/>
      <c r="D2" s="14"/>
      <c r="E2" s="12"/>
      <c r="F2" s="11"/>
      <c r="G2" s="11"/>
      <c r="H2" s="11"/>
      <c r="I2" s="11"/>
      <c r="J2" s="11"/>
      <c r="K2" s="11"/>
      <c r="L2" s="11"/>
      <c r="M2" s="11"/>
    </row>
    <row r="3" spans="1:13" x14ac:dyDescent="0.25">
      <c r="A3" s="8"/>
      <c r="C3" s="5" t="s">
        <v>3</v>
      </c>
      <c r="D3" s="5"/>
      <c r="E3" s="6" t="s">
        <v>17</v>
      </c>
      <c r="F3" s="20">
        <v>15</v>
      </c>
      <c r="G3" s="20">
        <v>15</v>
      </c>
      <c r="H3" s="20">
        <v>15</v>
      </c>
      <c r="I3" s="20">
        <v>15</v>
      </c>
      <c r="J3" s="20">
        <v>15</v>
      </c>
      <c r="K3" s="20">
        <v>15</v>
      </c>
      <c r="L3" s="20">
        <v>15</v>
      </c>
      <c r="M3" s="20">
        <v>15</v>
      </c>
    </row>
    <row r="4" spans="1:13" x14ac:dyDescent="0.25">
      <c r="A4" s="8"/>
      <c r="C4" s="5" t="s">
        <v>4</v>
      </c>
      <c r="D4" s="5"/>
      <c r="E4" s="6" t="s">
        <v>5</v>
      </c>
      <c r="F4" s="20">
        <v>85</v>
      </c>
      <c r="G4" s="20">
        <v>85</v>
      </c>
      <c r="H4" s="20">
        <v>85</v>
      </c>
      <c r="I4" s="20">
        <v>85</v>
      </c>
      <c r="J4" s="20">
        <v>85</v>
      </c>
      <c r="K4" s="20">
        <v>85</v>
      </c>
      <c r="L4" s="20">
        <v>85</v>
      </c>
      <c r="M4" s="20">
        <v>85</v>
      </c>
    </row>
    <row r="5" spans="1:13" x14ac:dyDescent="0.25">
      <c r="A5" s="8"/>
      <c r="C5" s="5" t="s">
        <v>6</v>
      </c>
      <c r="D5" s="5"/>
      <c r="E5" s="6" t="s">
        <v>17</v>
      </c>
      <c r="F5" s="20">
        <f t="shared" ref="F5:M5" si="0">F3*F4/100</f>
        <v>12.75</v>
      </c>
      <c r="G5" s="20">
        <f t="shared" ref="G5" si="1">G3*G4/100</f>
        <v>12.75</v>
      </c>
      <c r="H5" s="20">
        <f t="shared" ref="H5" si="2">H3*H4/100</f>
        <v>12.75</v>
      </c>
      <c r="I5" s="20">
        <f t="shared" si="0"/>
        <v>12.75</v>
      </c>
      <c r="J5" s="20">
        <f t="shared" si="0"/>
        <v>12.75</v>
      </c>
      <c r="K5" s="20">
        <f t="shared" si="0"/>
        <v>12.75</v>
      </c>
      <c r="L5" s="20">
        <f t="shared" si="0"/>
        <v>12.75</v>
      </c>
      <c r="M5" s="20">
        <f t="shared" si="0"/>
        <v>12.75</v>
      </c>
    </row>
    <row r="6" spans="1:13" x14ac:dyDescent="0.25">
      <c r="A6" s="8"/>
      <c r="C6" s="5" t="s">
        <v>7</v>
      </c>
      <c r="D6" s="5"/>
      <c r="E6" s="6" t="s">
        <v>8</v>
      </c>
      <c r="F6" s="20">
        <v>2501</v>
      </c>
      <c r="G6" s="20">
        <v>2501</v>
      </c>
      <c r="H6" s="20">
        <v>2501</v>
      </c>
      <c r="I6" s="20">
        <v>2501</v>
      </c>
      <c r="J6" s="20">
        <v>2501</v>
      </c>
      <c r="K6" s="20">
        <v>2501</v>
      </c>
      <c r="L6" s="20">
        <v>2501</v>
      </c>
      <c r="M6" s="20">
        <v>2501</v>
      </c>
    </row>
    <row r="7" spans="1:13" x14ac:dyDescent="0.25">
      <c r="A7" s="9"/>
      <c r="B7" s="32" t="s">
        <v>63</v>
      </c>
      <c r="C7" s="32"/>
      <c r="D7" s="32"/>
      <c r="E7" s="34" t="s">
        <v>16</v>
      </c>
      <c r="F7" s="33">
        <f t="shared" ref="F7:M7" si="3">F5*F6</f>
        <v>31887.75</v>
      </c>
      <c r="G7" s="33">
        <f t="shared" ref="G7" si="4">G5*G6</f>
        <v>31887.75</v>
      </c>
      <c r="H7" s="33">
        <f t="shared" ref="H7" si="5">H5*H6</f>
        <v>31887.75</v>
      </c>
      <c r="I7" s="33">
        <f t="shared" si="3"/>
        <v>31887.75</v>
      </c>
      <c r="J7" s="33">
        <f t="shared" si="3"/>
        <v>31887.75</v>
      </c>
      <c r="K7" s="33">
        <f t="shared" si="3"/>
        <v>31887.75</v>
      </c>
      <c r="L7" s="33">
        <f t="shared" si="3"/>
        <v>31887.75</v>
      </c>
      <c r="M7" s="33">
        <f t="shared" si="3"/>
        <v>31887.75</v>
      </c>
    </row>
    <row r="8" spans="1:13" s="5" customFormat="1" x14ac:dyDescent="0.25">
      <c r="A8" s="8">
        <v>2</v>
      </c>
      <c r="B8" s="13" t="s">
        <v>10</v>
      </c>
      <c r="C8" s="24"/>
      <c r="D8" s="24"/>
      <c r="E8" s="6"/>
    </row>
    <row r="9" spans="1:13" x14ac:dyDescent="0.25">
      <c r="A9" s="8"/>
      <c r="C9" s="10" t="s">
        <v>12</v>
      </c>
      <c r="D9" s="5"/>
      <c r="E9" s="6" t="s">
        <v>17</v>
      </c>
      <c r="F9" s="20">
        <f t="shared" ref="F9:M9" si="6">F3*(100-F4)/100</f>
        <v>2.25</v>
      </c>
      <c r="G9" s="20">
        <f t="shared" ref="G9" si="7">G3*(100-G4)/100</f>
        <v>2.25</v>
      </c>
      <c r="H9" s="20">
        <f t="shared" ref="H9" si="8">H3*(100-H4)/100</f>
        <v>2.25</v>
      </c>
      <c r="I9" s="20">
        <f t="shared" si="6"/>
        <v>2.25</v>
      </c>
      <c r="J9" s="20">
        <f t="shared" si="6"/>
        <v>2.25</v>
      </c>
      <c r="K9" s="20">
        <f t="shared" si="6"/>
        <v>2.25</v>
      </c>
      <c r="L9" s="20">
        <f t="shared" si="6"/>
        <v>2.25</v>
      </c>
      <c r="M9" s="20">
        <f t="shared" si="6"/>
        <v>2.25</v>
      </c>
    </row>
    <row r="10" spans="1:13" x14ac:dyDescent="0.25">
      <c r="A10" s="37"/>
      <c r="B10" s="22"/>
      <c r="C10" s="10" t="s">
        <v>13</v>
      </c>
      <c r="D10" s="10"/>
      <c r="E10" s="23" t="s">
        <v>103</v>
      </c>
      <c r="F10" s="21">
        <f t="shared" ref="F10:M10" si="9">F62</f>
        <v>25</v>
      </c>
      <c r="G10" s="21">
        <f t="shared" ref="G10" si="10">G62</f>
        <v>25</v>
      </c>
      <c r="H10" s="21">
        <f t="shared" ref="H10" si="11">H62</f>
        <v>25</v>
      </c>
      <c r="I10" s="21">
        <f t="shared" si="9"/>
        <v>25</v>
      </c>
      <c r="J10" s="21">
        <f t="shared" si="9"/>
        <v>25</v>
      </c>
      <c r="K10" s="21">
        <f t="shared" si="9"/>
        <v>25</v>
      </c>
      <c r="L10" s="21">
        <f t="shared" si="9"/>
        <v>25</v>
      </c>
      <c r="M10" s="21">
        <f t="shared" si="9"/>
        <v>25</v>
      </c>
    </row>
    <row r="11" spans="1:13" x14ac:dyDescent="0.25">
      <c r="A11" s="37"/>
      <c r="B11" s="22"/>
      <c r="C11" s="10" t="s">
        <v>73</v>
      </c>
      <c r="D11" s="10"/>
      <c r="E11" s="23" t="s">
        <v>103</v>
      </c>
      <c r="F11" s="21">
        <f>F68</f>
        <v>60</v>
      </c>
      <c r="G11" s="21">
        <f>G68</f>
        <v>60</v>
      </c>
      <c r="H11" s="21">
        <f>H68</f>
        <v>60</v>
      </c>
      <c r="I11" s="21">
        <f t="shared" ref="I11:M11" si="12">I68</f>
        <v>60</v>
      </c>
      <c r="J11" s="21">
        <f t="shared" si="12"/>
        <v>60</v>
      </c>
      <c r="K11" s="21">
        <f t="shared" si="12"/>
        <v>60</v>
      </c>
      <c r="L11" s="21">
        <f t="shared" si="12"/>
        <v>60</v>
      </c>
      <c r="M11" s="21">
        <f t="shared" si="12"/>
        <v>60</v>
      </c>
    </row>
    <row r="12" spans="1:13" x14ac:dyDescent="0.25">
      <c r="A12" s="8"/>
      <c r="C12" s="10" t="s">
        <v>14</v>
      </c>
      <c r="D12" s="5"/>
      <c r="E12" s="6" t="s">
        <v>104</v>
      </c>
      <c r="F12" s="20">
        <v>1.84</v>
      </c>
      <c r="G12" s="20">
        <v>1.84</v>
      </c>
      <c r="H12" s="20">
        <v>1.84</v>
      </c>
      <c r="I12" s="20">
        <v>1.84</v>
      </c>
      <c r="J12" s="20">
        <v>1.84</v>
      </c>
      <c r="K12" s="20">
        <v>1.84</v>
      </c>
      <c r="L12" s="20">
        <v>1.84</v>
      </c>
      <c r="M12" s="20">
        <v>1.84</v>
      </c>
    </row>
    <row r="13" spans="1:13" x14ac:dyDescent="0.25">
      <c r="A13" s="9"/>
      <c r="B13" s="32" t="s">
        <v>64</v>
      </c>
      <c r="C13" s="32"/>
      <c r="D13" s="32"/>
      <c r="E13" s="34" t="s">
        <v>15</v>
      </c>
      <c r="F13" s="33">
        <f t="shared" ref="F13:M13" si="13">F9*F12*(F11-F10)</f>
        <v>144.90000000000003</v>
      </c>
      <c r="G13" s="33">
        <f t="shared" ref="G13" si="14">G9*G12*(G11-G10)</f>
        <v>144.90000000000003</v>
      </c>
      <c r="H13" s="33">
        <f t="shared" ref="H13" si="15">H9*H12*(H11-H10)</f>
        <v>144.90000000000003</v>
      </c>
      <c r="I13" s="33">
        <f t="shared" si="13"/>
        <v>144.90000000000003</v>
      </c>
      <c r="J13" s="33">
        <f t="shared" si="13"/>
        <v>144.90000000000003</v>
      </c>
      <c r="K13" s="33">
        <f t="shared" si="13"/>
        <v>144.90000000000003</v>
      </c>
      <c r="L13" s="33">
        <f t="shared" si="13"/>
        <v>144.90000000000003</v>
      </c>
      <c r="M13" s="33">
        <f t="shared" si="13"/>
        <v>144.90000000000003</v>
      </c>
    </row>
    <row r="14" spans="1:13" x14ac:dyDescent="0.25">
      <c r="A14" s="19">
        <v>3</v>
      </c>
      <c r="B14" s="15" t="s">
        <v>111</v>
      </c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7"/>
      <c r="C15" s="10" t="s">
        <v>70</v>
      </c>
      <c r="D15" s="5"/>
      <c r="E15" s="6" t="s">
        <v>27</v>
      </c>
      <c r="F15" s="21">
        <v>4.18</v>
      </c>
      <c r="G15" s="21">
        <v>4.18</v>
      </c>
      <c r="H15" s="21">
        <v>4.18</v>
      </c>
      <c r="I15" s="21">
        <v>4.18</v>
      </c>
      <c r="J15" s="21">
        <v>4.18</v>
      </c>
      <c r="K15" s="21">
        <v>4.18</v>
      </c>
      <c r="L15" s="21">
        <v>4.18</v>
      </c>
      <c r="M15" s="21">
        <v>4.18</v>
      </c>
    </row>
    <row r="16" spans="1:13" x14ac:dyDescent="0.25">
      <c r="A16" s="27"/>
      <c r="B16" s="32" t="s">
        <v>112</v>
      </c>
      <c r="C16" s="32"/>
      <c r="D16" s="32"/>
      <c r="E16" s="34" t="s">
        <v>15</v>
      </c>
      <c r="F16" s="33">
        <f t="shared" ref="F16:M16" si="16">F5*F15*(F11-F10)</f>
        <v>1865.3249999999998</v>
      </c>
      <c r="G16" s="33">
        <f t="shared" ref="G16" si="17">G5*G15*(G11-G10)</f>
        <v>1865.3249999999998</v>
      </c>
      <c r="H16" s="33">
        <f t="shared" ref="H16" si="18">H5*H15*(H11-H10)</f>
        <v>1865.3249999999998</v>
      </c>
      <c r="I16" s="33">
        <f t="shared" si="16"/>
        <v>1865.3249999999998</v>
      </c>
      <c r="J16" s="33">
        <f t="shared" si="16"/>
        <v>1865.3249999999998</v>
      </c>
      <c r="K16" s="33">
        <f t="shared" si="16"/>
        <v>1865.3249999999998</v>
      </c>
      <c r="L16" s="33">
        <f t="shared" si="16"/>
        <v>1865.3249999999998</v>
      </c>
      <c r="M16" s="33">
        <f t="shared" si="16"/>
        <v>1865.3249999999998</v>
      </c>
    </row>
    <row r="17" spans="1:13" x14ac:dyDescent="0.25">
      <c r="A17" s="19">
        <v>4</v>
      </c>
      <c r="B17" s="15" t="s">
        <v>32</v>
      </c>
      <c r="C17" s="3"/>
      <c r="D17" s="3"/>
      <c r="E17" s="4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5"/>
      <c r="B18" s="7">
        <v>1</v>
      </c>
      <c r="C18" s="5" t="s">
        <v>33</v>
      </c>
      <c r="D18" s="5" t="s">
        <v>43</v>
      </c>
      <c r="E18" s="6" t="s">
        <v>34</v>
      </c>
      <c r="F18" s="20">
        <f t="shared" ref="F18:M18" si="19">0.5*0.5</f>
        <v>0.25</v>
      </c>
      <c r="G18" s="20">
        <f t="shared" si="19"/>
        <v>0.25</v>
      </c>
      <c r="H18" s="20">
        <f t="shared" si="19"/>
        <v>0.25</v>
      </c>
      <c r="I18" s="20">
        <f t="shared" si="19"/>
        <v>0.25</v>
      </c>
      <c r="J18" s="20">
        <f t="shared" si="19"/>
        <v>0.25</v>
      </c>
      <c r="K18" s="20">
        <f t="shared" si="19"/>
        <v>0.25</v>
      </c>
      <c r="L18" s="20">
        <f t="shared" si="19"/>
        <v>0.25</v>
      </c>
      <c r="M18" s="20">
        <f t="shared" si="19"/>
        <v>0.25</v>
      </c>
    </row>
    <row r="19" spans="1:13" x14ac:dyDescent="0.25">
      <c r="A19" s="5"/>
      <c r="B19" s="5"/>
      <c r="C19" s="5"/>
      <c r="D19" s="5" t="s">
        <v>35</v>
      </c>
      <c r="E19" s="6" t="s">
        <v>36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</row>
    <row r="20" spans="1:13" x14ac:dyDescent="0.25">
      <c r="A20" s="5"/>
      <c r="B20" s="5"/>
      <c r="C20" s="5"/>
      <c r="D20" s="5" t="s">
        <v>45</v>
      </c>
      <c r="E20" s="6" t="s">
        <v>37</v>
      </c>
      <c r="F20" s="20">
        <f t="shared" ref="F20:M20" si="20">F18*F19/1000</f>
        <v>2.5000000000000001E-4</v>
      </c>
      <c r="G20" s="20">
        <f t="shared" ref="G20" si="21">G18*G19/1000</f>
        <v>2.5000000000000001E-4</v>
      </c>
      <c r="H20" s="20">
        <f t="shared" ref="H20" si="22">H18*H19/1000</f>
        <v>2.5000000000000001E-4</v>
      </c>
      <c r="I20" s="20">
        <f t="shared" si="20"/>
        <v>2.5000000000000001E-4</v>
      </c>
      <c r="J20" s="20">
        <f t="shared" si="20"/>
        <v>2.5000000000000001E-4</v>
      </c>
      <c r="K20" s="20">
        <f t="shared" si="20"/>
        <v>2.5000000000000001E-4</v>
      </c>
      <c r="L20" s="20">
        <f t="shared" si="20"/>
        <v>2.5000000000000001E-4</v>
      </c>
      <c r="M20" s="20">
        <f t="shared" si="20"/>
        <v>2.5000000000000001E-4</v>
      </c>
    </row>
    <row r="21" spans="1:13" x14ac:dyDescent="0.25">
      <c r="A21" s="5"/>
      <c r="B21" s="5"/>
      <c r="C21" s="5"/>
      <c r="D21" s="5" t="s">
        <v>38</v>
      </c>
      <c r="E21" s="6" t="s">
        <v>29</v>
      </c>
      <c r="F21" s="20">
        <v>8000</v>
      </c>
      <c r="G21" s="20">
        <v>8000</v>
      </c>
      <c r="H21" s="20">
        <v>8000</v>
      </c>
      <c r="I21" s="20">
        <v>8000</v>
      </c>
      <c r="J21" s="20">
        <v>8000</v>
      </c>
      <c r="K21" s="20">
        <v>8000</v>
      </c>
      <c r="L21" s="20">
        <v>8000</v>
      </c>
      <c r="M21" s="20">
        <v>8000</v>
      </c>
    </row>
    <row r="22" spans="1:13" x14ac:dyDescent="0.25">
      <c r="A22" s="5"/>
      <c r="B22" s="5"/>
      <c r="C22" s="5"/>
      <c r="D22" s="5" t="s">
        <v>40</v>
      </c>
      <c r="E22" s="6" t="s">
        <v>39</v>
      </c>
      <c r="F22" s="20">
        <f t="shared" ref="F22:M22" si="23">F21*F20</f>
        <v>2</v>
      </c>
      <c r="G22" s="20">
        <f t="shared" ref="G22" si="24">G21*G20</f>
        <v>2</v>
      </c>
      <c r="H22" s="20">
        <f t="shared" ref="H22" si="25">H21*H20</f>
        <v>2</v>
      </c>
      <c r="I22" s="20">
        <f t="shared" si="23"/>
        <v>2</v>
      </c>
      <c r="J22" s="20">
        <f t="shared" si="23"/>
        <v>2</v>
      </c>
      <c r="K22" s="20">
        <f t="shared" si="23"/>
        <v>2</v>
      </c>
      <c r="L22" s="20">
        <f t="shared" si="23"/>
        <v>2</v>
      </c>
      <c r="M22" s="20">
        <f t="shared" si="23"/>
        <v>2</v>
      </c>
    </row>
    <row r="23" spans="1:13" x14ac:dyDescent="0.25">
      <c r="A23" s="5"/>
      <c r="B23" s="5"/>
      <c r="C23" s="5"/>
      <c r="D23" s="5" t="s">
        <v>41</v>
      </c>
      <c r="E23" s="6" t="s">
        <v>17</v>
      </c>
      <c r="F23" s="20">
        <f t="shared" ref="F23:M23" si="26">F22*30</f>
        <v>60</v>
      </c>
      <c r="G23" s="20">
        <f t="shared" ref="G23" si="27">G22*30</f>
        <v>60</v>
      </c>
      <c r="H23" s="20">
        <f t="shared" ref="H23" si="28">H22*30</f>
        <v>60</v>
      </c>
      <c r="I23" s="20">
        <f t="shared" si="26"/>
        <v>60</v>
      </c>
      <c r="J23" s="20">
        <f t="shared" si="26"/>
        <v>60</v>
      </c>
      <c r="K23" s="20">
        <f t="shared" si="26"/>
        <v>60</v>
      </c>
      <c r="L23" s="20">
        <f t="shared" si="26"/>
        <v>60</v>
      </c>
      <c r="M23" s="20">
        <f t="shared" si="26"/>
        <v>60</v>
      </c>
    </row>
    <row r="24" spans="1:13" x14ac:dyDescent="0.25">
      <c r="A24" s="5"/>
      <c r="B24" s="5"/>
      <c r="C24" s="5"/>
      <c r="D24" s="5" t="s">
        <v>55</v>
      </c>
      <c r="E24" s="6" t="s">
        <v>27</v>
      </c>
      <c r="F24" s="20">
        <v>0.51100000000000001</v>
      </c>
      <c r="G24" s="20">
        <v>0.51100000000000001</v>
      </c>
      <c r="H24" s="20">
        <v>0.51100000000000001</v>
      </c>
      <c r="I24" s="20">
        <v>0.51100000000000001</v>
      </c>
      <c r="J24" s="20">
        <v>0.51100000000000001</v>
      </c>
      <c r="K24" s="20">
        <v>0.51100000000000001</v>
      </c>
      <c r="L24" s="20">
        <v>0.51100000000000001</v>
      </c>
      <c r="M24" s="20">
        <v>0.51100000000000001</v>
      </c>
    </row>
    <row r="25" spans="1:13" x14ac:dyDescent="0.25">
      <c r="A25" s="5"/>
      <c r="B25" s="2"/>
      <c r="C25" s="32"/>
      <c r="D25" s="32" t="s">
        <v>65</v>
      </c>
      <c r="E25" s="34" t="s">
        <v>15</v>
      </c>
      <c r="F25" s="33">
        <f t="shared" ref="F25:M25" si="29">F22*F24*(F68-F62)</f>
        <v>35.770000000000003</v>
      </c>
      <c r="G25" s="33">
        <f t="shared" ref="G25" si="30">G22*G24*(G68-G62)</f>
        <v>35.770000000000003</v>
      </c>
      <c r="H25" s="33">
        <f t="shared" ref="H25" si="31">H22*H24*(H68-H62)</f>
        <v>35.770000000000003</v>
      </c>
      <c r="I25" s="33">
        <f t="shared" si="29"/>
        <v>35.770000000000003</v>
      </c>
      <c r="J25" s="33">
        <f t="shared" si="29"/>
        <v>35.770000000000003</v>
      </c>
      <c r="K25" s="33">
        <f t="shared" si="29"/>
        <v>35.770000000000003</v>
      </c>
      <c r="L25" s="33">
        <f t="shared" si="29"/>
        <v>35.770000000000003</v>
      </c>
      <c r="M25" s="33">
        <f t="shared" si="29"/>
        <v>35.770000000000003</v>
      </c>
    </row>
    <row r="26" spans="1:13" x14ac:dyDescent="0.25">
      <c r="A26" s="5"/>
      <c r="B26" s="19">
        <v>2</v>
      </c>
      <c r="C26" s="3" t="s">
        <v>42</v>
      </c>
      <c r="D26" s="3" t="s">
        <v>44</v>
      </c>
      <c r="E26" s="4" t="s">
        <v>34</v>
      </c>
      <c r="F26" s="31">
        <f t="shared" ref="F26:M26" si="32">2*(37.5+50)/100*0.5</f>
        <v>0.875</v>
      </c>
      <c r="G26" s="31">
        <f t="shared" si="32"/>
        <v>0.875</v>
      </c>
      <c r="H26" s="31">
        <f t="shared" si="32"/>
        <v>0.875</v>
      </c>
      <c r="I26" s="31">
        <f t="shared" si="32"/>
        <v>0.875</v>
      </c>
      <c r="J26" s="31">
        <f t="shared" si="32"/>
        <v>0.875</v>
      </c>
      <c r="K26" s="31">
        <f t="shared" si="32"/>
        <v>0.875</v>
      </c>
      <c r="L26" s="31">
        <f t="shared" si="32"/>
        <v>0.875</v>
      </c>
      <c r="M26" s="31">
        <f t="shared" si="32"/>
        <v>0.875</v>
      </c>
    </row>
    <row r="27" spans="1:13" x14ac:dyDescent="0.25">
      <c r="A27" s="5"/>
      <c r="B27" s="7"/>
      <c r="C27" s="5"/>
      <c r="D27" s="5" t="s">
        <v>35</v>
      </c>
      <c r="E27" s="6" t="s">
        <v>36</v>
      </c>
      <c r="F27" s="20">
        <v>25</v>
      </c>
      <c r="G27" s="20">
        <v>25</v>
      </c>
      <c r="H27" s="20">
        <v>25</v>
      </c>
      <c r="I27" s="20">
        <v>25</v>
      </c>
      <c r="J27" s="20">
        <v>25</v>
      </c>
      <c r="K27" s="20">
        <v>25</v>
      </c>
      <c r="L27" s="20">
        <v>25</v>
      </c>
      <c r="M27" s="20">
        <v>25</v>
      </c>
    </row>
    <row r="28" spans="1:13" x14ac:dyDescent="0.25">
      <c r="A28" s="5"/>
      <c r="B28" s="7"/>
      <c r="C28" s="5"/>
      <c r="D28" s="5" t="s">
        <v>46</v>
      </c>
      <c r="E28" s="6" t="s">
        <v>47</v>
      </c>
      <c r="F28" s="20">
        <f t="shared" ref="F28:M28" si="33">F26*F27/1000</f>
        <v>2.1874999999999999E-2</v>
      </c>
      <c r="G28" s="20">
        <f t="shared" ref="G28" si="34">G26*G27/1000</f>
        <v>2.1874999999999999E-2</v>
      </c>
      <c r="H28" s="20">
        <f t="shared" ref="H28" si="35">H26*H27/1000</f>
        <v>2.1874999999999999E-2</v>
      </c>
      <c r="I28" s="20">
        <f t="shared" si="33"/>
        <v>2.1874999999999999E-2</v>
      </c>
      <c r="J28" s="20">
        <f t="shared" si="33"/>
        <v>2.1874999999999999E-2</v>
      </c>
      <c r="K28" s="20">
        <f t="shared" si="33"/>
        <v>2.1874999999999999E-2</v>
      </c>
      <c r="L28" s="20">
        <f t="shared" si="33"/>
        <v>2.1874999999999999E-2</v>
      </c>
      <c r="M28" s="20">
        <f t="shared" si="33"/>
        <v>2.1874999999999999E-2</v>
      </c>
    </row>
    <row r="29" spans="1:13" x14ac:dyDescent="0.25">
      <c r="A29" s="5"/>
      <c r="B29" s="7"/>
      <c r="C29" s="5"/>
      <c r="D29" s="5" t="s">
        <v>48</v>
      </c>
      <c r="E29" s="6" t="s">
        <v>29</v>
      </c>
      <c r="F29" s="5">
        <v>1500</v>
      </c>
      <c r="G29" s="5">
        <v>1500</v>
      </c>
      <c r="H29" s="5">
        <v>1500</v>
      </c>
      <c r="I29" s="5">
        <v>1500</v>
      </c>
      <c r="J29" s="5">
        <v>1500</v>
      </c>
      <c r="K29" s="5">
        <v>1500</v>
      </c>
      <c r="L29" s="5">
        <v>1500</v>
      </c>
      <c r="M29" s="5">
        <v>1500</v>
      </c>
    </row>
    <row r="30" spans="1:13" x14ac:dyDescent="0.25">
      <c r="A30" s="5"/>
      <c r="B30" s="7"/>
      <c r="C30" s="5"/>
      <c r="D30" s="5" t="s">
        <v>53</v>
      </c>
      <c r="E30" s="6" t="s">
        <v>31</v>
      </c>
      <c r="F30" s="20">
        <f t="shared" ref="F30:M30" si="36">F29*F28</f>
        <v>32.8125</v>
      </c>
      <c r="G30" s="20">
        <f t="shared" ref="G30" si="37">G29*G28</f>
        <v>32.8125</v>
      </c>
      <c r="H30" s="20">
        <f t="shared" ref="H30" si="38">H29*H28</f>
        <v>32.8125</v>
      </c>
      <c r="I30" s="20">
        <f t="shared" si="36"/>
        <v>32.8125</v>
      </c>
      <c r="J30" s="20">
        <f t="shared" si="36"/>
        <v>32.8125</v>
      </c>
      <c r="K30" s="20">
        <f t="shared" si="36"/>
        <v>32.8125</v>
      </c>
      <c r="L30" s="20">
        <f t="shared" si="36"/>
        <v>32.8125</v>
      </c>
      <c r="M30" s="20">
        <f t="shared" si="36"/>
        <v>32.8125</v>
      </c>
    </row>
    <row r="31" spans="1:13" x14ac:dyDescent="0.25">
      <c r="A31" s="5"/>
      <c r="B31" s="7"/>
      <c r="C31" s="5"/>
      <c r="D31" s="5" t="s">
        <v>56</v>
      </c>
      <c r="E31" s="6" t="s">
        <v>58</v>
      </c>
      <c r="F31" s="25">
        <v>1.2</v>
      </c>
      <c r="G31" s="25">
        <v>1.2</v>
      </c>
      <c r="H31" s="25">
        <v>1.2</v>
      </c>
      <c r="I31" s="25">
        <v>1.2</v>
      </c>
      <c r="J31" s="25">
        <v>1.2</v>
      </c>
      <c r="K31" s="25">
        <v>1.2</v>
      </c>
      <c r="L31" s="25">
        <v>1.2</v>
      </c>
      <c r="M31" s="25">
        <v>1.2</v>
      </c>
    </row>
    <row r="32" spans="1:13" x14ac:dyDescent="0.25">
      <c r="A32" s="5"/>
      <c r="B32" s="27"/>
      <c r="C32" s="32"/>
      <c r="D32" s="32" t="s">
        <v>66</v>
      </c>
      <c r="E32" s="34" t="s">
        <v>59</v>
      </c>
      <c r="F32" s="33">
        <f t="shared" ref="F32:M32" si="39">F30*F31*(F68-F62)</f>
        <v>1378.125</v>
      </c>
      <c r="G32" s="33">
        <f t="shared" ref="G32" si="40">G30*G31*(G68-G62)</f>
        <v>1378.125</v>
      </c>
      <c r="H32" s="33">
        <f t="shared" ref="H32" si="41">H30*H31*(H68-H62)</f>
        <v>1378.125</v>
      </c>
      <c r="I32" s="33">
        <f t="shared" si="39"/>
        <v>1378.125</v>
      </c>
      <c r="J32" s="33">
        <f t="shared" si="39"/>
        <v>1378.125</v>
      </c>
      <c r="K32" s="33">
        <f t="shared" si="39"/>
        <v>1378.125</v>
      </c>
      <c r="L32" s="33">
        <f t="shared" si="39"/>
        <v>1378.125</v>
      </c>
      <c r="M32" s="33">
        <f t="shared" si="39"/>
        <v>1378.125</v>
      </c>
    </row>
    <row r="33" spans="1:13" x14ac:dyDescent="0.25">
      <c r="A33" s="5"/>
      <c r="B33" s="19">
        <v>3</v>
      </c>
      <c r="C33" s="3" t="s">
        <v>50</v>
      </c>
      <c r="D33" s="3" t="s">
        <v>51</v>
      </c>
      <c r="E33" s="4" t="s">
        <v>34</v>
      </c>
      <c r="F33" s="31">
        <f t="shared" ref="F33:M33" si="42">2*(0.18+0.15)</f>
        <v>0.65999999999999992</v>
      </c>
      <c r="G33" s="31">
        <f t="shared" si="42"/>
        <v>0.65999999999999992</v>
      </c>
      <c r="H33" s="31">
        <f t="shared" si="42"/>
        <v>0.65999999999999992</v>
      </c>
      <c r="I33" s="31">
        <f t="shared" si="42"/>
        <v>0.65999999999999992</v>
      </c>
      <c r="J33" s="31">
        <f t="shared" si="42"/>
        <v>0.65999999999999992</v>
      </c>
      <c r="K33" s="31">
        <f t="shared" si="42"/>
        <v>0.65999999999999992</v>
      </c>
      <c r="L33" s="31">
        <f t="shared" si="42"/>
        <v>0.65999999999999992</v>
      </c>
      <c r="M33" s="31">
        <f t="shared" si="42"/>
        <v>0.65999999999999992</v>
      </c>
    </row>
    <row r="34" spans="1:13" x14ac:dyDescent="0.25">
      <c r="A34" s="5"/>
      <c r="B34" s="7"/>
      <c r="C34" s="5"/>
      <c r="D34" s="5" t="s">
        <v>35</v>
      </c>
      <c r="E34" s="6" t="s">
        <v>36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</row>
    <row r="35" spans="1:13" x14ac:dyDescent="0.25">
      <c r="A35" s="5"/>
      <c r="B35" s="7"/>
      <c r="C35" s="5"/>
      <c r="D35" s="5" t="s">
        <v>52</v>
      </c>
      <c r="E35" s="6" t="s">
        <v>47</v>
      </c>
      <c r="F35" s="26">
        <f t="shared" ref="F35:M35" si="43">F33*F34/1000</f>
        <v>6.5999999999999989E-4</v>
      </c>
      <c r="G35" s="26">
        <f t="shared" ref="G35" si="44">G33*G34/1000</f>
        <v>6.5999999999999989E-4</v>
      </c>
      <c r="H35" s="26">
        <f t="shared" ref="H35" si="45">H33*H34/1000</f>
        <v>6.5999999999999989E-4</v>
      </c>
      <c r="I35" s="26">
        <f t="shared" si="43"/>
        <v>6.5999999999999989E-4</v>
      </c>
      <c r="J35" s="26">
        <f t="shared" si="43"/>
        <v>6.5999999999999989E-4</v>
      </c>
      <c r="K35" s="26">
        <f t="shared" si="43"/>
        <v>6.5999999999999989E-4</v>
      </c>
      <c r="L35" s="26">
        <f t="shared" si="43"/>
        <v>6.5999999999999989E-4</v>
      </c>
      <c r="M35" s="26">
        <f t="shared" si="43"/>
        <v>6.5999999999999989E-4</v>
      </c>
    </row>
    <row r="36" spans="1:13" x14ac:dyDescent="0.25">
      <c r="A36" s="5"/>
      <c r="B36" s="7"/>
      <c r="C36" s="5"/>
      <c r="D36" s="5" t="s">
        <v>48</v>
      </c>
      <c r="E36" s="6" t="s">
        <v>29</v>
      </c>
      <c r="F36" s="20">
        <v>7850</v>
      </c>
      <c r="G36" s="20">
        <v>7850</v>
      </c>
      <c r="H36" s="20">
        <v>7850</v>
      </c>
      <c r="I36" s="20">
        <v>7850</v>
      </c>
      <c r="J36" s="20">
        <v>7850</v>
      </c>
      <c r="K36" s="20">
        <v>7850</v>
      </c>
      <c r="L36" s="20">
        <v>7850</v>
      </c>
      <c r="M36" s="20">
        <v>7850</v>
      </c>
    </row>
    <row r="37" spans="1:13" x14ac:dyDescent="0.25">
      <c r="A37" s="5"/>
      <c r="B37" s="7"/>
      <c r="C37" s="5"/>
      <c r="D37" s="5" t="s">
        <v>49</v>
      </c>
      <c r="E37" s="6" t="s">
        <v>31</v>
      </c>
      <c r="F37" s="20">
        <f t="shared" ref="F37:M37" si="46">F36*F35</f>
        <v>5.1809999999999992</v>
      </c>
      <c r="G37" s="20">
        <f t="shared" ref="G37" si="47">G36*G35</f>
        <v>5.1809999999999992</v>
      </c>
      <c r="H37" s="20">
        <f t="shared" ref="H37" si="48">H36*H35</f>
        <v>5.1809999999999992</v>
      </c>
      <c r="I37" s="20">
        <f t="shared" si="46"/>
        <v>5.1809999999999992</v>
      </c>
      <c r="J37" s="20">
        <f t="shared" si="46"/>
        <v>5.1809999999999992</v>
      </c>
      <c r="K37" s="20">
        <f t="shared" si="46"/>
        <v>5.1809999999999992</v>
      </c>
      <c r="L37" s="20">
        <f t="shared" si="46"/>
        <v>5.1809999999999992</v>
      </c>
      <c r="M37" s="20">
        <f t="shared" si="46"/>
        <v>5.1809999999999992</v>
      </c>
    </row>
    <row r="38" spans="1:13" x14ac:dyDescent="0.25">
      <c r="A38" s="5"/>
      <c r="B38" s="7"/>
      <c r="C38" s="5"/>
      <c r="D38" s="5" t="s">
        <v>54</v>
      </c>
      <c r="E38" s="6" t="s">
        <v>17</v>
      </c>
      <c r="F38" s="20">
        <f t="shared" ref="F38:M38" si="49">F37*2</f>
        <v>10.361999999999998</v>
      </c>
      <c r="G38" s="20">
        <f t="shared" ref="G38" si="50">G37*2</f>
        <v>10.361999999999998</v>
      </c>
      <c r="H38" s="20">
        <f t="shared" ref="H38" si="51">H37*2</f>
        <v>10.361999999999998</v>
      </c>
      <c r="I38" s="20">
        <f t="shared" si="49"/>
        <v>10.361999999999998</v>
      </c>
      <c r="J38" s="20">
        <f t="shared" si="49"/>
        <v>10.361999999999998</v>
      </c>
      <c r="K38" s="20">
        <f t="shared" si="49"/>
        <v>10.361999999999998</v>
      </c>
      <c r="L38" s="20">
        <f t="shared" si="49"/>
        <v>10.361999999999998</v>
      </c>
      <c r="M38" s="20">
        <f t="shared" si="49"/>
        <v>10.361999999999998</v>
      </c>
    </row>
    <row r="39" spans="1:13" x14ac:dyDescent="0.25">
      <c r="A39" s="5"/>
      <c r="B39" s="7"/>
      <c r="C39" s="5"/>
      <c r="D39" s="5" t="s">
        <v>57</v>
      </c>
      <c r="E39" s="6" t="s">
        <v>27</v>
      </c>
      <c r="F39" s="20">
        <v>0.502</v>
      </c>
      <c r="G39" s="20">
        <v>0.502</v>
      </c>
      <c r="H39" s="20">
        <v>0.502</v>
      </c>
      <c r="I39" s="20">
        <v>0.502</v>
      </c>
      <c r="J39" s="20">
        <v>0.502</v>
      </c>
      <c r="K39" s="20">
        <v>0.502</v>
      </c>
      <c r="L39" s="20">
        <v>0.502</v>
      </c>
      <c r="M39" s="20">
        <v>0.502</v>
      </c>
    </row>
    <row r="40" spans="1:13" x14ac:dyDescent="0.25">
      <c r="A40" s="5"/>
      <c r="B40" s="27"/>
      <c r="C40" s="32"/>
      <c r="D40" s="32" t="s">
        <v>67</v>
      </c>
      <c r="E40" s="34" t="s">
        <v>15</v>
      </c>
      <c r="F40" s="33">
        <f t="shared" ref="F40:M40" si="52">F38*F39*(F68-F62)</f>
        <v>182.06034</v>
      </c>
      <c r="G40" s="33">
        <f t="shared" ref="G40" si="53">G38*G39*(G68-G62)</f>
        <v>182.06034</v>
      </c>
      <c r="H40" s="33">
        <f t="shared" ref="H40" si="54">H38*H39*(H68-H62)</f>
        <v>182.06034</v>
      </c>
      <c r="I40" s="33">
        <f t="shared" si="52"/>
        <v>182.06034</v>
      </c>
      <c r="J40" s="33">
        <f t="shared" si="52"/>
        <v>182.06034</v>
      </c>
      <c r="K40" s="33">
        <f t="shared" si="52"/>
        <v>182.06034</v>
      </c>
      <c r="L40" s="33">
        <f t="shared" si="52"/>
        <v>182.06034</v>
      </c>
      <c r="M40" s="33">
        <f t="shared" si="52"/>
        <v>182.06034</v>
      </c>
    </row>
    <row r="41" spans="1:13" x14ac:dyDescent="0.25">
      <c r="A41" s="5"/>
      <c r="B41" s="19">
        <v>4</v>
      </c>
      <c r="C41" s="3" t="s">
        <v>60</v>
      </c>
      <c r="D41" s="3" t="s">
        <v>61</v>
      </c>
      <c r="E41" s="4"/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5"/>
      <c r="B42" s="7"/>
      <c r="C42" s="5"/>
      <c r="D42" s="5" t="s">
        <v>49</v>
      </c>
      <c r="E42" s="6" t="s">
        <v>31</v>
      </c>
      <c r="F42" s="20">
        <v>1</v>
      </c>
      <c r="G42" s="20">
        <v>1</v>
      </c>
      <c r="H42" s="20">
        <v>1</v>
      </c>
      <c r="I42" s="20">
        <v>1</v>
      </c>
      <c r="J42" s="20">
        <v>1</v>
      </c>
      <c r="K42" s="20">
        <v>1</v>
      </c>
      <c r="L42" s="20">
        <v>1</v>
      </c>
      <c r="M42" s="20">
        <v>1</v>
      </c>
    </row>
    <row r="43" spans="1:13" x14ac:dyDescent="0.25">
      <c r="A43" s="5"/>
      <c r="B43" s="7"/>
      <c r="C43" s="5"/>
      <c r="D43" s="5" t="s">
        <v>57</v>
      </c>
      <c r="E43" s="6" t="s">
        <v>27</v>
      </c>
      <c r="F43" s="20">
        <v>0.502</v>
      </c>
      <c r="G43" s="20">
        <v>0.502</v>
      </c>
      <c r="H43" s="20">
        <v>0.502</v>
      </c>
      <c r="I43" s="20">
        <v>0.502</v>
      </c>
      <c r="J43" s="20">
        <v>0.502</v>
      </c>
      <c r="K43" s="20">
        <v>0.502</v>
      </c>
      <c r="L43" s="20">
        <v>0.502</v>
      </c>
      <c r="M43" s="20">
        <v>0.502</v>
      </c>
    </row>
    <row r="44" spans="1:13" s="22" customFormat="1" x14ac:dyDescent="0.25">
      <c r="A44" s="5"/>
      <c r="B44" s="27"/>
      <c r="C44" s="32"/>
      <c r="D44" s="32" t="s">
        <v>68</v>
      </c>
      <c r="E44" s="34" t="s">
        <v>15</v>
      </c>
      <c r="F44" s="33">
        <f t="shared" ref="F44:M44" si="55">F42*F43*(F68-F62)</f>
        <v>17.57</v>
      </c>
      <c r="G44" s="33">
        <f t="shared" ref="G44" si="56">G42*G43*(G68-G62)</f>
        <v>17.57</v>
      </c>
      <c r="H44" s="33">
        <f t="shared" ref="H44" si="57">H42*H43*(H68-H62)</f>
        <v>17.57</v>
      </c>
      <c r="I44" s="33">
        <f t="shared" si="55"/>
        <v>17.57</v>
      </c>
      <c r="J44" s="33">
        <f t="shared" si="55"/>
        <v>17.57</v>
      </c>
      <c r="K44" s="33">
        <f t="shared" si="55"/>
        <v>17.57</v>
      </c>
      <c r="L44" s="33">
        <f t="shared" si="55"/>
        <v>17.57</v>
      </c>
      <c r="M44" s="33">
        <f t="shared" si="55"/>
        <v>17.57</v>
      </c>
    </row>
    <row r="45" spans="1:13" s="22" customFormat="1" x14ac:dyDescent="0.25">
      <c r="A45" s="16"/>
      <c r="B45" s="32" t="s">
        <v>69</v>
      </c>
      <c r="C45" s="32"/>
      <c r="D45" s="32"/>
      <c r="E45" s="34" t="s">
        <v>16</v>
      </c>
      <c r="F45" s="33">
        <f t="shared" ref="F45:M45" si="58">F44+F40+F32+F25</f>
        <v>1613.5253399999999</v>
      </c>
      <c r="G45" s="33">
        <f t="shared" ref="G45" si="59">G44+G40+G32+G25</f>
        <v>1613.5253399999999</v>
      </c>
      <c r="H45" s="33">
        <f t="shared" ref="H45" si="60">H44+H40+H32+H25</f>
        <v>1613.5253399999999</v>
      </c>
      <c r="I45" s="33">
        <f t="shared" si="58"/>
        <v>1613.5253399999999</v>
      </c>
      <c r="J45" s="33">
        <f t="shared" si="58"/>
        <v>1613.5253399999999</v>
      </c>
      <c r="K45" s="33">
        <f t="shared" si="58"/>
        <v>1613.5253399999999</v>
      </c>
      <c r="L45" s="33">
        <f t="shared" si="58"/>
        <v>1613.5253399999999</v>
      </c>
      <c r="M45" s="33">
        <f t="shared" si="58"/>
        <v>1613.5253399999999</v>
      </c>
    </row>
    <row r="46" spans="1:13" x14ac:dyDescent="0.25">
      <c r="A46" s="7">
        <v>6</v>
      </c>
      <c r="B46" s="13" t="s">
        <v>2</v>
      </c>
      <c r="C46" s="5"/>
      <c r="D46" s="5"/>
      <c r="E46" s="6"/>
      <c r="F46" s="5"/>
      <c r="G46" s="5"/>
      <c r="H46" s="5"/>
      <c r="I46" s="5"/>
      <c r="J46" s="5"/>
      <c r="K46" s="5"/>
      <c r="L46" s="5"/>
      <c r="M46" s="5"/>
    </row>
    <row r="47" spans="1:13" x14ac:dyDescent="0.25">
      <c r="A47" s="5"/>
      <c r="C47" s="10" t="s">
        <v>30</v>
      </c>
      <c r="D47" s="5"/>
      <c r="E47" s="6" t="s">
        <v>5</v>
      </c>
      <c r="F47" s="5">
        <v>20</v>
      </c>
      <c r="G47" s="5">
        <v>20</v>
      </c>
      <c r="H47" s="5">
        <v>20</v>
      </c>
      <c r="I47" s="5">
        <v>20</v>
      </c>
      <c r="J47" s="5">
        <v>20</v>
      </c>
      <c r="K47" s="5">
        <v>20</v>
      </c>
      <c r="L47" s="5">
        <v>20</v>
      </c>
      <c r="M47" s="5">
        <v>20</v>
      </c>
    </row>
    <row r="48" spans="1:13" x14ac:dyDescent="0.25">
      <c r="A48" s="2"/>
      <c r="B48" s="32" t="s">
        <v>62</v>
      </c>
      <c r="C48" s="32"/>
      <c r="D48" s="32"/>
      <c r="E48" s="34" t="s">
        <v>16</v>
      </c>
      <c r="F48" s="33">
        <f t="shared" ref="F48:M48" si="61">F45*0.2</f>
        <v>322.70506799999998</v>
      </c>
      <c r="G48" s="33">
        <f t="shared" ref="G48" si="62">G45*0.2</f>
        <v>322.70506799999998</v>
      </c>
      <c r="H48" s="33">
        <f t="shared" ref="H48" si="63">H45*0.2</f>
        <v>322.70506799999998</v>
      </c>
      <c r="I48" s="33">
        <f t="shared" si="61"/>
        <v>322.70506799999998</v>
      </c>
      <c r="J48" s="33">
        <f t="shared" si="61"/>
        <v>322.70506799999998</v>
      </c>
      <c r="K48" s="33">
        <f t="shared" si="61"/>
        <v>322.70506799999998</v>
      </c>
      <c r="L48" s="33">
        <f t="shared" si="61"/>
        <v>322.70506799999998</v>
      </c>
      <c r="M48" s="33">
        <f t="shared" si="61"/>
        <v>322.70506799999998</v>
      </c>
    </row>
    <row r="49" spans="1:13" x14ac:dyDescent="0.25">
      <c r="A49" s="40"/>
      <c r="B49" s="41" t="s">
        <v>72</v>
      </c>
      <c r="C49" s="40"/>
      <c r="D49" s="40"/>
      <c r="E49" s="42" t="s">
        <v>16</v>
      </c>
      <c r="F49" s="43">
        <f>F7+F13+F16+F45+F48</f>
        <v>35834.205408000002</v>
      </c>
      <c r="G49" s="43">
        <f>G7+G13+G16+G45+G48</f>
        <v>35834.205408000002</v>
      </c>
      <c r="H49" s="43">
        <f>H7+H13+H16+H45+H48</f>
        <v>35834.205408000002</v>
      </c>
      <c r="I49" s="43">
        <f t="shared" ref="I49:M49" si="64">I7+I13+I16+I45+I48</f>
        <v>35834.205408000002</v>
      </c>
      <c r="J49" s="43">
        <f t="shared" si="64"/>
        <v>35834.205408000002</v>
      </c>
      <c r="K49" s="43">
        <f t="shared" si="64"/>
        <v>35834.205408000002</v>
      </c>
      <c r="L49" s="43">
        <f t="shared" si="64"/>
        <v>35834.205408000002</v>
      </c>
      <c r="M49" s="43">
        <f t="shared" si="64"/>
        <v>35834.205408000002</v>
      </c>
    </row>
    <row r="50" spans="1:13" s="22" customFormat="1" x14ac:dyDescent="0.25">
      <c r="A50" s="37"/>
      <c r="B50" s="13" t="s">
        <v>18</v>
      </c>
      <c r="C50" s="10"/>
      <c r="D50" s="10"/>
      <c r="E50" s="23"/>
      <c r="F50" s="10"/>
      <c r="G50" s="10"/>
      <c r="H50" s="10"/>
      <c r="I50" s="10"/>
      <c r="J50" s="10"/>
      <c r="K50" s="10"/>
      <c r="L50" s="10"/>
      <c r="M50" s="10"/>
    </row>
    <row r="51" spans="1:13" s="22" customFormat="1" x14ac:dyDescent="0.25">
      <c r="A51" s="37"/>
      <c r="B51" s="44" t="s">
        <v>86</v>
      </c>
      <c r="C51" s="10" t="s">
        <v>28</v>
      </c>
      <c r="D51" s="10"/>
      <c r="E51" s="23" t="s">
        <v>29</v>
      </c>
      <c r="F51" s="21">
        <v>1.2250000000000001</v>
      </c>
      <c r="G51" s="21">
        <v>1.2250000000000001</v>
      </c>
      <c r="H51" s="21">
        <v>1.2250000000000001</v>
      </c>
      <c r="I51" s="21">
        <v>1.2250000000000001</v>
      </c>
      <c r="J51" s="21">
        <v>1.2250000000000001</v>
      </c>
      <c r="K51" s="21">
        <v>1.2250000000000001</v>
      </c>
      <c r="L51" s="21">
        <v>1.2250000000000001</v>
      </c>
      <c r="M51" s="21">
        <v>1.2250000000000001</v>
      </c>
    </row>
    <row r="52" spans="1:13" s="22" customFormat="1" x14ac:dyDescent="0.25">
      <c r="A52" s="37"/>
      <c r="B52" s="10"/>
      <c r="C52" s="10" t="s">
        <v>26</v>
      </c>
      <c r="D52" s="10"/>
      <c r="E52" s="23" t="s">
        <v>27</v>
      </c>
      <c r="F52" s="21">
        <v>1.006</v>
      </c>
      <c r="G52" s="21">
        <v>1.006</v>
      </c>
      <c r="H52" s="21">
        <v>1.006</v>
      </c>
      <c r="I52" s="21">
        <v>1.006</v>
      </c>
      <c r="J52" s="21">
        <v>1.006</v>
      </c>
      <c r="K52" s="21">
        <v>1.006</v>
      </c>
      <c r="L52" s="21">
        <v>1.006</v>
      </c>
      <c r="M52" s="21">
        <v>1.006</v>
      </c>
    </row>
    <row r="53" spans="1:13" s="22" customFormat="1" x14ac:dyDescent="0.25">
      <c r="A53" s="37"/>
      <c r="B53" s="16"/>
      <c r="C53" s="16" t="s">
        <v>88</v>
      </c>
      <c r="D53" s="16"/>
      <c r="E53" s="23" t="s">
        <v>27</v>
      </c>
      <c r="F53" s="28">
        <v>1.84</v>
      </c>
      <c r="G53" s="28">
        <v>1.84</v>
      </c>
      <c r="H53" s="28">
        <v>1.84</v>
      </c>
      <c r="I53" s="28">
        <v>1.84</v>
      </c>
      <c r="J53" s="28">
        <v>1.84</v>
      </c>
      <c r="K53" s="28">
        <v>1.84</v>
      </c>
      <c r="L53" s="28">
        <v>1.84</v>
      </c>
      <c r="M53" s="28">
        <v>1.84</v>
      </c>
    </row>
    <row r="54" spans="1:13" s="22" customFormat="1" x14ac:dyDescent="0.25">
      <c r="A54" s="37"/>
      <c r="B54" s="47" t="s">
        <v>1</v>
      </c>
      <c r="C54" s="47" t="s">
        <v>19</v>
      </c>
      <c r="D54" s="48"/>
      <c r="E54" s="49" t="s">
        <v>20</v>
      </c>
      <c r="F54" s="50">
        <v>1000</v>
      </c>
      <c r="G54" s="50">
        <v>500</v>
      </c>
      <c r="H54" s="50">
        <v>350</v>
      </c>
      <c r="I54" s="50">
        <v>250</v>
      </c>
      <c r="J54" s="50">
        <v>150</v>
      </c>
      <c r="K54" s="50">
        <v>100</v>
      </c>
      <c r="L54" s="50">
        <v>50</v>
      </c>
      <c r="M54" s="50">
        <v>25</v>
      </c>
    </row>
    <row r="55" spans="1:13" s="22" customFormat="1" x14ac:dyDescent="0.25">
      <c r="A55" s="37"/>
      <c r="B55" s="10"/>
      <c r="C55" s="10"/>
      <c r="D55" s="10"/>
      <c r="E55" s="23" t="s">
        <v>21</v>
      </c>
      <c r="F55" s="45">
        <f t="shared" ref="F55:M55" si="65">F56*3600</f>
        <v>1728</v>
      </c>
      <c r="G55" s="45">
        <f t="shared" si="65"/>
        <v>849.59999999999991</v>
      </c>
      <c r="H55" s="45">
        <f t="shared" si="65"/>
        <v>612</v>
      </c>
      <c r="I55" s="45">
        <f t="shared" si="65"/>
        <v>432</v>
      </c>
      <c r="J55" s="45">
        <f t="shared" si="65"/>
        <v>252.00000000000003</v>
      </c>
      <c r="K55" s="45">
        <f t="shared" si="65"/>
        <v>180</v>
      </c>
      <c r="L55" s="45">
        <f t="shared" si="65"/>
        <v>72</v>
      </c>
      <c r="M55" s="45">
        <f t="shared" si="65"/>
        <v>36</v>
      </c>
    </row>
    <row r="56" spans="1:13" s="22" customFormat="1" x14ac:dyDescent="0.25">
      <c r="A56" s="37"/>
      <c r="B56" s="10"/>
      <c r="C56" s="10"/>
      <c r="D56" s="10"/>
      <c r="E56" s="23" t="s">
        <v>22</v>
      </c>
      <c r="F56" s="45">
        <v>0.48</v>
      </c>
      <c r="G56" s="45">
        <v>0.23599999999999999</v>
      </c>
      <c r="H56" s="45">
        <v>0.17</v>
      </c>
      <c r="I56" s="45">
        <v>0.12</v>
      </c>
      <c r="J56" s="45">
        <v>7.0000000000000007E-2</v>
      </c>
      <c r="K56" s="45">
        <v>0.05</v>
      </c>
      <c r="L56" s="45">
        <v>0.02</v>
      </c>
      <c r="M56" s="45">
        <v>0.01</v>
      </c>
    </row>
    <row r="57" spans="1:13" s="22" customFormat="1" x14ac:dyDescent="0.25">
      <c r="A57" s="37"/>
      <c r="B57" s="10"/>
      <c r="C57" s="10" t="s">
        <v>113</v>
      </c>
      <c r="D57" s="10"/>
      <c r="E57" s="23" t="s">
        <v>114</v>
      </c>
      <c r="F57" s="45">
        <f>F56/(15*(0.5)*(0.015))</f>
        <v>4.2666666666666666</v>
      </c>
      <c r="G57" s="45">
        <f>G56/(15*(0.5)*(0.015))</f>
        <v>2.097777777777778</v>
      </c>
      <c r="H57" s="45">
        <f>H56/(15*(0.5)*(0.015))</f>
        <v>1.5111111111111113</v>
      </c>
      <c r="I57" s="45">
        <f t="shared" ref="I57:M57" si="66">I56/(15*(0.5)*(0.015))</f>
        <v>1.0666666666666667</v>
      </c>
      <c r="J57" s="45">
        <f t="shared" si="66"/>
        <v>0.62222222222222234</v>
      </c>
      <c r="K57" s="45">
        <f t="shared" si="66"/>
        <v>0.44444444444444453</v>
      </c>
      <c r="L57" s="45">
        <f t="shared" si="66"/>
        <v>0.17777777777777781</v>
      </c>
      <c r="M57" s="45">
        <f t="shared" si="66"/>
        <v>8.8888888888888906E-2</v>
      </c>
    </row>
    <row r="58" spans="1:13" s="22" customFormat="1" x14ac:dyDescent="0.25">
      <c r="A58" s="37"/>
      <c r="B58" s="10"/>
      <c r="C58" s="38" t="s">
        <v>85</v>
      </c>
      <c r="D58" s="63"/>
      <c r="E58" s="39" t="s">
        <v>23</v>
      </c>
      <c r="F58" s="51">
        <v>6</v>
      </c>
      <c r="G58" s="51">
        <v>6</v>
      </c>
      <c r="H58" s="51">
        <v>6</v>
      </c>
      <c r="I58" s="51">
        <v>6</v>
      </c>
      <c r="J58" s="51">
        <v>6</v>
      </c>
      <c r="K58" s="51">
        <v>6</v>
      </c>
      <c r="L58" s="51">
        <v>6</v>
      </c>
      <c r="M58" s="51">
        <v>6</v>
      </c>
    </row>
    <row r="59" spans="1:13" s="22" customFormat="1" x14ac:dyDescent="0.25">
      <c r="A59" s="37"/>
      <c r="B59" s="10"/>
      <c r="C59" s="10"/>
      <c r="D59" s="10" t="s">
        <v>24</v>
      </c>
      <c r="E59" s="23" t="s">
        <v>25</v>
      </c>
      <c r="F59" s="21">
        <f>F56*3600*F58</f>
        <v>10368</v>
      </c>
      <c r="G59" s="21">
        <f t="shared" ref="G59:M59" si="67">G56*3600*G58</f>
        <v>5097.5999999999995</v>
      </c>
      <c r="H59" s="21">
        <f t="shared" si="67"/>
        <v>3672</v>
      </c>
      <c r="I59" s="21">
        <f t="shared" si="67"/>
        <v>2592</v>
      </c>
      <c r="J59" s="21">
        <f t="shared" si="67"/>
        <v>1512.0000000000002</v>
      </c>
      <c r="K59" s="21">
        <f t="shared" si="67"/>
        <v>1080</v>
      </c>
      <c r="L59" s="21">
        <f t="shared" si="67"/>
        <v>432</v>
      </c>
      <c r="M59" s="21">
        <f t="shared" si="67"/>
        <v>216</v>
      </c>
    </row>
    <row r="60" spans="1:13" s="22" customFormat="1" x14ac:dyDescent="0.25">
      <c r="A60" s="37"/>
      <c r="B60" s="10"/>
      <c r="C60" s="10"/>
      <c r="D60" s="10" t="s">
        <v>24</v>
      </c>
      <c r="E60" s="23" t="s">
        <v>17</v>
      </c>
      <c r="F60" s="21">
        <f t="shared" ref="F60:M60" si="68">1.22*F59</f>
        <v>12648.96</v>
      </c>
      <c r="G60" s="21">
        <f t="shared" ref="G60" si="69">1.22*G59</f>
        <v>6219.0719999999992</v>
      </c>
      <c r="H60" s="21">
        <f t="shared" ref="H60" si="70">1.22*H59</f>
        <v>4479.84</v>
      </c>
      <c r="I60" s="21">
        <f t="shared" si="68"/>
        <v>3162.24</v>
      </c>
      <c r="J60" s="21">
        <f t="shared" si="68"/>
        <v>1844.6400000000003</v>
      </c>
      <c r="K60" s="21">
        <f t="shared" si="68"/>
        <v>1317.6</v>
      </c>
      <c r="L60" s="21">
        <f t="shared" si="68"/>
        <v>527.04</v>
      </c>
      <c r="M60" s="21">
        <f t="shared" si="68"/>
        <v>263.52</v>
      </c>
    </row>
    <row r="61" spans="1:13" s="22" customFormat="1" x14ac:dyDescent="0.25">
      <c r="A61" s="37"/>
      <c r="B61" s="16"/>
      <c r="C61" s="16"/>
      <c r="D61" s="16" t="s">
        <v>83</v>
      </c>
      <c r="E61" s="35" t="s">
        <v>17</v>
      </c>
      <c r="F61" s="28">
        <f>(F64/(1+F64))*F60</f>
        <v>125.23722772277227</v>
      </c>
      <c r="G61" s="28">
        <f>(G64/(1+G64))*G60</f>
        <v>61.574970297029694</v>
      </c>
      <c r="H61" s="28">
        <f>(H64/(1+H64))*H60</f>
        <v>44.354851485148515</v>
      </c>
      <c r="I61" s="28">
        <f t="shared" ref="I61:M61" si="71">(I64/(1+I64))*I60</f>
        <v>31.309306930693069</v>
      </c>
      <c r="J61" s="28">
        <f t="shared" si="71"/>
        <v>18.263762376237626</v>
      </c>
      <c r="K61" s="28">
        <f t="shared" si="71"/>
        <v>13.045544554455445</v>
      </c>
      <c r="L61" s="28">
        <f t="shared" si="71"/>
        <v>5.2182178217821775</v>
      </c>
      <c r="M61" s="28">
        <f t="shared" si="71"/>
        <v>2.6091089108910888</v>
      </c>
    </row>
    <row r="62" spans="1:13" s="22" customFormat="1" x14ac:dyDescent="0.25">
      <c r="A62" s="37"/>
      <c r="B62" s="47" t="s">
        <v>87</v>
      </c>
      <c r="C62" s="47" t="s">
        <v>78</v>
      </c>
      <c r="D62" s="47" t="s">
        <v>75</v>
      </c>
      <c r="E62" s="49" t="s">
        <v>103</v>
      </c>
      <c r="F62" s="53">
        <v>25</v>
      </c>
      <c r="G62" s="53">
        <v>25</v>
      </c>
      <c r="H62" s="53">
        <v>25</v>
      </c>
      <c r="I62" s="53">
        <v>25</v>
      </c>
      <c r="J62" s="53">
        <v>25</v>
      </c>
      <c r="K62" s="53">
        <v>25</v>
      </c>
      <c r="L62" s="53">
        <v>25</v>
      </c>
      <c r="M62" s="53">
        <v>25</v>
      </c>
    </row>
    <row r="63" spans="1:13" s="22" customFormat="1" x14ac:dyDescent="0.25">
      <c r="A63" s="37"/>
      <c r="B63" s="36"/>
      <c r="C63" s="38"/>
      <c r="D63" s="38" t="s">
        <v>76</v>
      </c>
      <c r="E63" s="39" t="s">
        <v>5</v>
      </c>
      <c r="F63" s="51">
        <v>50</v>
      </c>
      <c r="G63" s="51">
        <v>50</v>
      </c>
      <c r="H63" s="51">
        <v>50</v>
      </c>
      <c r="I63" s="51">
        <v>50</v>
      </c>
      <c r="J63" s="51">
        <v>50</v>
      </c>
      <c r="K63" s="51">
        <v>50</v>
      </c>
      <c r="L63" s="51">
        <v>50</v>
      </c>
      <c r="M63" s="51">
        <v>50</v>
      </c>
    </row>
    <row r="64" spans="1:13" s="22" customFormat="1" x14ac:dyDescent="0.25">
      <c r="A64" s="37"/>
      <c r="B64" s="10"/>
      <c r="C64" s="10"/>
      <c r="D64" s="10" t="s">
        <v>82</v>
      </c>
      <c r="E64" s="23" t="s">
        <v>81</v>
      </c>
      <c r="F64" s="52">
        <v>0.01</v>
      </c>
      <c r="G64" s="52">
        <v>0.01</v>
      </c>
      <c r="H64" s="52">
        <v>0.01</v>
      </c>
      <c r="I64" s="52">
        <v>0.01</v>
      </c>
      <c r="J64" s="52">
        <v>0.01</v>
      </c>
      <c r="K64" s="52">
        <v>0.01</v>
      </c>
      <c r="L64" s="52">
        <v>0.01</v>
      </c>
      <c r="M64" s="52">
        <v>0.01</v>
      </c>
    </row>
    <row r="65" spans="1:13" s="22" customFormat="1" x14ac:dyDescent="0.25">
      <c r="A65" s="37"/>
      <c r="B65" s="10"/>
      <c r="C65" s="10"/>
      <c r="D65" s="10" t="s">
        <v>77</v>
      </c>
      <c r="E65" s="23" t="s">
        <v>74</v>
      </c>
      <c r="F65" s="21">
        <f t="shared" ref="F65:M65" si="72">(F52*(F62))+F64*(F6+F53*(F62))</f>
        <v>50.62</v>
      </c>
      <c r="G65" s="21">
        <f t="shared" ref="G65" si="73">(G52*(G62))+G64*(G6+G53*(G62))</f>
        <v>50.62</v>
      </c>
      <c r="H65" s="21">
        <f t="shared" ref="H65" si="74">(H52*(H62))+H64*(H6+H53*(H62))</f>
        <v>50.62</v>
      </c>
      <c r="I65" s="21">
        <f t="shared" si="72"/>
        <v>50.62</v>
      </c>
      <c r="J65" s="21">
        <f t="shared" si="72"/>
        <v>50.62</v>
      </c>
      <c r="K65" s="21">
        <f t="shared" si="72"/>
        <v>50.62</v>
      </c>
      <c r="L65" s="21">
        <f t="shared" si="72"/>
        <v>50.62</v>
      </c>
      <c r="M65" s="21">
        <f t="shared" si="72"/>
        <v>50.62</v>
      </c>
    </row>
    <row r="66" spans="1:13" s="22" customFormat="1" x14ac:dyDescent="0.25">
      <c r="A66" s="37"/>
      <c r="B66" s="10"/>
      <c r="C66" s="38" t="s">
        <v>79</v>
      </c>
      <c r="D66" s="38" t="s">
        <v>75</v>
      </c>
      <c r="E66" s="39" t="s">
        <v>103</v>
      </c>
      <c r="F66" s="51">
        <v>85</v>
      </c>
      <c r="G66" s="51">
        <v>85</v>
      </c>
      <c r="H66" s="51">
        <v>85</v>
      </c>
      <c r="I66" s="51">
        <v>85</v>
      </c>
      <c r="J66" s="51">
        <v>85</v>
      </c>
      <c r="K66" s="51">
        <v>85</v>
      </c>
      <c r="L66" s="51">
        <v>85</v>
      </c>
      <c r="M66" s="51">
        <v>85</v>
      </c>
    </row>
    <row r="67" spans="1:13" s="22" customFormat="1" x14ac:dyDescent="0.25">
      <c r="A67" s="37"/>
      <c r="B67" s="10"/>
      <c r="C67" s="10"/>
      <c r="D67" s="10" t="s">
        <v>77</v>
      </c>
      <c r="E67" s="23" t="s">
        <v>74</v>
      </c>
      <c r="F67" s="21">
        <f t="shared" ref="F67:M67" si="75">(F52*(F66))+F64*(F6+F53*(F66))</f>
        <v>112.084</v>
      </c>
      <c r="G67" s="21">
        <f t="shared" ref="G67" si="76">(G52*(G66))+G64*(G6+G53*(G66))</f>
        <v>112.084</v>
      </c>
      <c r="H67" s="21">
        <f t="shared" ref="H67" si="77">(H52*(H66))+H64*(H6+H53*(H66))</f>
        <v>112.084</v>
      </c>
      <c r="I67" s="21">
        <f t="shared" si="75"/>
        <v>112.084</v>
      </c>
      <c r="J67" s="21">
        <f t="shared" si="75"/>
        <v>112.084</v>
      </c>
      <c r="K67" s="21">
        <f t="shared" si="75"/>
        <v>112.084</v>
      </c>
      <c r="L67" s="21">
        <f t="shared" si="75"/>
        <v>112.084</v>
      </c>
      <c r="M67" s="21">
        <f t="shared" si="75"/>
        <v>112.084</v>
      </c>
    </row>
    <row r="68" spans="1:13" s="22" customFormat="1" x14ac:dyDescent="0.25">
      <c r="A68" s="37"/>
      <c r="B68" s="10"/>
      <c r="C68" s="38" t="s">
        <v>80</v>
      </c>
      <c r="D68" s="38" t="s">
        <v>75</v>
      </c>
      <c r="E68" s="39" t="s">
        <v>103</v>
      </c>
      <c r="F68" s="51">
        <v>60</v>
      </c>
      <c r="G68" s="51">
        <v>60</v>
      </c>
      <c r="H68" s="51">
        <v>60</v>
      </c>
      <c r="I68" s="51">
        <v>60</v>
      </c>
      <c r="J68" s="51">
        <v>60</v>
      </c>
      <c r="K68" s="51">
        <v>60</v>
      </c>
      <c r="L68" s="51">
        <v>60</v>
      </c>
      <c r="M68" s="51">
        <v>60</v>
      </c>
    </row>
    <row r="69" spans="1:13" s="22" customFormat="1" x14ac:dyDescent="0.25">
      <c r="A69" s="37"/>
      <c r="B69" s="10"/>
      <c r="C69" s="44"/>
      <c r="D69" s="10" t="s">
        <v>84</v>
      </c>
      <c r="E69" s="23" t="s">
        <v>17</v>
      </c>
      <c r="F69" s="21">
        <f t="shared" ref="F69:M69" si="78">F61+F5</f>
        <v>137.98722772277227</v>
      </c>
      <c r="G69" s="21">
        <f t="shared" ref="G69" si="79">G61+G5</f>
        <v>74.324970297029694</v>
      </c>
      <c r="H69" s="21">
        <f t="shared" ref="H69" si="80">H61+H5</f>
        <v>57.104851485148515</v>
      </c>
      <c r="I69" s="21">
        <f t="shared" si="78"/>
        <v>44.059306930693069</v>
      </c>
      <c r="J69" s="21">
        <f t="shared" si="78"/>
        <v>31.013762376237626</v>
      </c>
      <c r="K69" s="21">
        <f t="shared" si="78"/>
        <v>25.795544554455446</v>
      </c>
      <c r="L69" s="21">
        <f t="shared" si="78"/>
        <v>17.968217821782176</v>
      </c>
      <c r="M69" s="21">
        <f t="shared" si="78"/>
        <v>15.359108910891088</v>
      </c>
    </row>
    <row r="70" spans="1:13" s="22" customFormat="1" x14ac:dyDescent="0.25">
      <c r="A70" s="37"/>
      <c r="B70" s="10"/>
      <c r="C70" s="10"/>
      <c r="D70" s="10" t="s">
        <v>82</v>
      </c>
      <c r="E70" s="23" t="s">
        <v>81</v>
      </c>
      <c r="F70" s="52">
        <f t="shared" ref="F70:M70" si="81">(F61+F5)/(F60-F61)</f>
        <v>1.1018067888585307E-2</v>
      </c>
      <c r="G70" s="52">
        <f t="shared" ref="G70" si="82">(G61+G5)/(G60-G61)</f>
        <v>1.2070646553054861E-2</v>
      </c>
      <c r="H70" s="52">
        <f t="shared" ref="H70" si="83">(H61+H5)/(H60-H61)</f>
        <v>1.2874544626593806E-2</v>
      </c>
      <c r="I70" s="52">
        <f t="shared" si="81"/>
        <v>1.4072271554341226E-2</v>
      </c>
      <c r="J70" s="52">
        <f t="shared" si="81"/>
        <v>1.6981036950299244E-2</v>
      </c>
      <c r="K70" s="52">
        <f t="shared" si="81"/>
        <v>1.9773451730418948E-2</v>
      </c>
      <c r="L70" s="52">
        <f t="shared" si="81"/>
        <v>3.4433629326047356E-2</v>
      </c>
      <c r="M70" s="52">
        <f t="shared" si="81"/>
        <v>5.8867258652094724E-2</v>
      </c>
    </row>
    <row r="71" spans="1:13" s="22" customFormat="1" x14ac:dyDescent="0.25">
      <c r="A71" s="37"/>
      <c r="B71" s="16"/>
      <c r="C71" s="16"/>
      <c r="D71" s="16" t="s">
        <v>77</v>
      </c>
      <c r="E71" s="35" t="s">
        <v>74</v>
      </c>
      <c r="F71" s="28">
        <f t="shared" ref="F71:M71" si="84">(F52*(F68))+F70*(F6+F53*(F68))</f>
        <v>89.132582484251671</v>
      </c>
      <c r="G71" s="28">
        <f t="shared" ref="G71" si="85">(G52*(G68))+G70*(G6+G53*(G68))</f>
        <v>91.881286408647469</v>
      </c>
      <c r="H71" s="28">
        <f t="shared" ref="H71" si="86">(H52*(H68))+H70*(H6+H53*(H68))</f>
        <v>93.980585837887077</v>
      </c>
      <c r="I71" s="28">
        <f t="shared" si="84"/>
        <v>97.108329937006687</v>
      </c>
      <c r="J71" s="28">
        <f t="shared" si="84"/>
        <v>104.70427989201144</v>
      </c>
      <c r="K71" s="28">
        <f t="shared" si="84"/>
        <v>111.99639184881605</v>
      </c>
      <c r="L71" s="28">
        <f t="shared" si="84"/>
        <v>150.27997962204006</v>
      </c>
      <c r="M71" s="28">
        <f t="shared" si="84"/>
        <v>214.08595924408019</v>
      </c>
    </row>
    <row r="72" spans="1:13" s="22" customFormat="1" x14ac:dyDescent="0.25">
      <c r="A72" s="37"/>
      <c r="B72" s="15" t="s">
        <v>105</v>
      </c>
      <c r="C72" s="10"/>
      <c r="D72" s="10" t="s">
        <v>106</v>
      </c>
      <c r="E72" s="23" t="s">
        <v>74</v>
      </c>
      <c r="F72" s="21">
        <f>F67-F65</f>
        <v>61.464000000000006</v>
      </c>
      <c r="G72" s="21">
        <f>G67-G65</f>
        <v>61.464000000000006</v>
      </c>
      <c r="H72" s="21">
        <f>H67-H65</f>
        <v>61.464000000000006</v>
      </c>
      <c r="I72" s="21">
        <f t="shared" ref="I72:M72" si="87">I67-I65</f>
        <v>61.464000000000006</v>
      </c>
      <c r="J72" s="21">
        <f t="shared" si="87"/>
        <v>61.464000000000006</v>
      </c>
      <c r="K72" s="21">
        <f t="shared" si="87"/>
        <v>61.464000000000006</v>
      </c>
      <c r="L72" s="21">
        <f t="shared" si="87"/>
        <v>61.464000000000006</v>
      </c>
      <c r="M72" s="21">
        <f t="shared" si="87"/>
        <v>61.464000000000006</v>
      </c>
    </row>
    <row r="73" spans="1:13" s="22" customFormat="1" x14ac:dyDescent="0.25">
      <c r="A73" s="37"/>
      <c r="B73" s="10"/>
      <c r="C73" s="10"/>
      <c r="D73" s="10" t="s">
        <v>107</v>
      </c>
      <c r="E73" s="23" t="s">
        <v>16</v>
      </c>
      <c r="F73" s="21">
        <f>F72*F60</f>
        <v>777455.67744</v>
      </c>
      <c r="G73" s="21">
        <f>G72*G60</f>
        <v>382249.04140799999</v>
      </c>
      <c r="H73" s="21">
        <f>H72*H60</f>
        <v>275348.88576000003</v>
      </c>
      <c r="I73" s="21">
        <f t="shared" ref="I73:M73" si="88">I72*I60</f>
        <v>194363.91936</v>
      </c>
      <c r="J73" s="21">
        <f t="shared" si="88"/>
        <v>113378.95296000002</v>
      </c>
      <c r="K73" s="21">
        <f t="shared" si="88"/>
        <v>80984.966400000005</v>
      </c>
      <c r="L73" s="21">
        <f t="shared" si="88"/>
        <v>32393.986560000001</v>
      </c>
      <c r="M73" s="21">
        <f t="shared" si="88"/>
        <v>16196.993280000001</v>
      </c>
    </row>
    <row r="74" spans="1:13" s="22" customFormat="1" x14ac:dyDescent="0.25">
      <c r="A74" s="37"/>
      <c r="B74" s="10"/>
      <c r="C74" s="10"/>
      <c r="D74" s="10" t="s">
        <v>108</v>
      </c>
      <c r="E74" s="23" t="s">
        <v>109</v>
      </c>
      <c r="F74" s="21">
        <f>F73/F58</f>
        <v>129575.94624</v>
      </c>
      <c r="G74" s="21">
        <f>G73/G58</f>
        <v>63708.173567999998</v>
      </c>
      <c r="H74" s="21">
        <f>H73/H58</f>
        <v>45891.480960000008</v>
      </c>
      <c r="I74" s="21">
        <f t="shared" ref="I74:M74" si="89">I73/I58</f>
        <v>32393.986560000001</v>
      </c>
      <c r="J74" s="21">
        <f t="shared" si="89"/>
        <v>18896.492160000005</v>
      </c>
      <c r="K74" s="21">
        <f t="shared" si="89"/>
        <v>13497.494400000001</v>
      </c>
      <c r="L74" s="21">
        <f t="shared" si="89"/>
        <v>5398.9977600000002</v>
      </c>
      <c r="M74" s="21">
        <f t="shared" si="89"/>
        <v>2699.4988800000001</v>
      </c>
    </row>
    <row r="75" spans="1:13" s="22" customFormat="1" x14ac:dyDescent="0.25">
      <c r="A75" s="37"/>
      <c r="B75" s="40"/>
      <c r="C75" s="40"/>
      <c r="D75" s="40"/>
      <c r="E75" s="42" t="s">
        <v>110</v>
      </c>
      <c r="F75" s="43">
        <f>F74*0.00027777777778</f>
        <v>35.993318400287947</v>
      </c>
      <c r="G75" s="43">
        <f>G74*0.00027777777778</f>
        <v>17.696714880141574</v>
      </c>
      <c r="H75" s="43">
        <f>H74*0.00027777777778</f>
        <v>12.747633600101985</v>
      </c>
      <c r="I75" s="43">
        <f t="shared" ref="I75:M75" si="90">I74*0.00027777777778</f>
        <v>8.9983296000719868</v>
      </c>
      <c r="J75" s="43">
        <f t="shared" si="90"/>
        <v>5.2490256000419935</v>
      </c>
      <c r="K75" s="43">
        <f t="shared" si="90"/>
        <v>3.7493040000299951</v>
      </c>
      <c r="L75" s="43">
        <f t="shared" si="90"/>
        <v>1.4997216000119979</v>
      </c>
      <c r="M75" s="43">
        <f t="shared" si="90"/>
        <v>0.74986080000599897</v>
      </c>
    </row>
    <row r="76" spans="1:13" s="22" customFormat="1" x14ac:dyDescent="0.25">
      <c r="B76" s="15" t="s">
        <v>89</v>
      </c>
      <c r="C76" s="46"/>
      <c r="D76" s="46" t="s">
        <v>90</v>
      </c>
      <c r="E76" s="54" t="s">
        <v>16</v>
      </c>
      <c r="F76" s="60">
        <f>F65*F60</f>
        <v>640290.35519999987</v>
      </c>
      <c r="G76" s="60">
        <f>G65*G60</f>
        <v>314809.42463999992</v>
      </c>
      <c r="H76" s="60">
        <f>H65*H60</f>
        <v>226769.50080000001</v>
      </c>
      <c r="I76" s="60">
        <f t="shared" ref="I76:M76" si="91">I65*I60</f>
        <v>160072.58879999997</v>
      </c>
      <c r="J76" s="60">
        <f t="shared" si="91"/>
        <v>93375.676800000016</v>
      </c>
      <c r="K76" s="60">
        <f t="shared" si="91"/>
        <v>66696.911999999997</v>
      </c>
      <c r="L76" s="60">
        <f t="shared" si="91"/>
        <v>26678.764799999997</v>
      </c>
      <c r="M76" s="60">
        <f t="shared" si="91"/>
        <v>13339.382399999999</v>
      </c>
    </row>
    <row r="77" spans="1:13" s="22" customFormat="1" x14ac:dyDescent="0.25">
      <c r="B77" s="10"/>
      <c r="C77" s="10"/>
      <c r="D77" s="10" t="s">
        <v>93</v>
      </c>
      <c r="E77" s="23" t="s">
        <v>16</v>
      </c>
      <c r="F77" s="61">
        <f>(F67-F65)*F60</f>
        <v>777455.67744</v>
      </c>
      <c r="G77" s="61">
        <f>(G67-G65)*G60</f>
        <v>382249.04140799999</v>
      </c>
      <c r="H77" s="61">
        <f>(H67-H65)*H60</f>
        <v>275348.88576000003</v>
      </c>
      <c r="I77" s="61">
        <f t="shared" ref="I77:M77" si="92">(I67-I65)*I60</f>
        <v>194363.91936</v>
      </c>
      <c r="J77" s="61">
        <f t="shared" si="92"/>
        <v>113378.95296000002</v>
      </c>
      <c r="K77" s="61">
        <f t="shared" si="92"/>
        <v>80984.966400000005</v>
      </c>
      <c r="L77" s="61">
        <f t="shared" si="92"/>
        <v>32393.986560000001</v>
      </c>
      <c r="M77" s="61">
        <f t="shared" si="92"/>
        <v>16196.993280000001</v>
      </c>
    </row>
    <row r="78" spans="1:13" s="22" customFormat="1" x14ac:dyDescent="0.25">
      <c r="B78" s="10"/>
      <c r="C78" s="10"/>
      <c r="D78" s="10" t="s">
        <v>91</v>
      </c>
      <c r="E78" s="23" t="s">
        <v>16</v>
      </c>
      <c r="F78" s="61">
        <f>F49</f>
        <v>35834.205408000002</v>
      </c>
      <c r="G78" s="61">
        <f>G49</f>
        <v>35834.205408000002</v>
      </c>
      <c r="H78" s="61">
        <f>H49</f>
        <v>35834.205408000002</v>
      </c>
      <c r="I78" s="61">
        <f t="shared" ref="I78:M78" si="93">I49</f>
        <v>35834.205408000002</v>
      </c>
      <c r="J78" s="61">
        <f t="shared" si="93"/>
        <v>35834.205408000002</v>
      </c>
      <c r="K78" s="61">
        <f t="shared" si="93"/>
        <v>35834.205408000002</v>
      </c>
      <c r="L78" s="61">
        <f t="shared" si="93"/>
        <v>35834.205408000002</v>
      </c>
      <c r="M78" s="61">
        <f t="shared" si="93"/>
        <v>35834.205408000002</v>
      </c>
    </row>
    <row r="79" spans="1:13" s="22" customFormat="1" x14ac:dyDescent="0.25">
      <c r="B79" s="10"/>
      <c r="C79" s="10"/>
      <c r="D79" s="10" t="s">
        <v>92</v>
      </c>
      <c r="E79" s="23" t="s">
        <v>16</v>
      </c>
      <c r="F79" s="61">
        <f>F71*F60</f>
        <v>1127434.4705399999</v>
      </c>
      <c r="G79" s="61">
        <f>G71*G60</f>
        <v>571416.33562799997</v>
      </c>
      <c r="H79" s="61">
        <f>H71*H60</f>
        <v>421017.98766000004</v>
      </c>
      <c r="I79" s="61">
        <f t="shared" ref="I79:M79" si="94">I71*I60</f>
        <v>307079.84526000003</v>
      </c>
      <c r="J79" s="61">
        <f t="shared" si="94"/>
        <v>193141.70286000002</v>
      </c>
      <c r="K79" s="61">
        <f t="shared" si="94"/>
        <v>147566.44590000002</v>
      </c>
      <c r="L79" s="61">
        <f t="shared" si="94"/>
        <v>79203.560459999993</v>
      </c>
      <c r="M79" s="61">
        <f t="shared" si="94"/>
        <v>56415.931980000008</v>
      </c>
    </row>
    <row r="80" spans="1:13" s="22" customFormat="1" x14ac:dyDescent="0.25">
      <c r="B80" s="16"/>
      <c r="C80" s="16"/>
      <c r="D80" s="55" t="s">
        <v>94</v>
      </c>
      <c r="E80" s="35"/>
      <c r="F80" s="62">
        <f t="shared" ref="F80:M80" si="95">(F76+F77-F78-F79)</f>
        <v>254477.35669200006</v>
      </c>
      <c r="G80" s="62">
        <f t="shared" ref="G80" si="96">(G76+G77-G78-G79)</f>
        <v>89807.925011999905</v>
      </c>
      <c r="H80" s="62">
        <f t="shared" ref="H80" si="97">(H76+H77-H78-H79)</f>
        <v>45266.193491999991</v>
      </c>
      <c r="I80" s="62">
        <f t="shared" si="95"/>
        <v>11522.457491999958</v>
      </c>
      <c r="J80" s="62">
        <f t="shared" si="95"/>
        <v>-22221.278507999989</v>
      </c>
      <c r="K80" s="62">
        <f t="shared" si="95"/>
        <v>-35718.772908000043</v>
      </c>
      <c r="L80" s="62">
        <f t="shared" si="95"/>
        <v>-55965.014508</v>
      </c>
      <c r="M80" s="62">
        <f t="shared" si="95"/>
        <v>-62713.761708000013</v>
      </c>
    </row>
    <row r="81" spans="2:13" x14ac:dyDescent="0.25">
      <c r="B81" s="13" t="s">
        <v>95</v>
      </c>
      <c r="C81" s="56"/>
      <c r="D81" s="46" t="s">
        <v>101</v>
      </c>
      <c r="E81" s="4" t="s">
        <v>17</v>
      </c>
      <c r="F81" s="31">
        <f t="shared" ref="F81:M81" si="98">F60-F61</f>
        <v>12523.722772277228</v>
      </c>
      <c r="G81" s="31">
        <f t="shared" ref="G81" si="99">G60-G61</f>
        <v>6157.4970297029695</v>
      </c>
      <c r="H81" s="31">
        <f t="shared" ref="H81" si="100">H60-H61</f>
        <v>4435.485148514852</v>
      </c>
      <c r="I81" s="31">
        <f t="shared" si="98"/>
        <v>3130.9306930693069</v>
      </c>
      <c r="J81" s="31">
        <f t="shared" si="98"/>
        <v>1826.3762376237628</v>
      </c>
      <c r="K81" s="31">
        <f t="shared" si="98"/>
        <v>1304.5544554455444</v>
      </c>
      <c r="L81" s="31">
        <f t="shared" si="98"/>
        <v>521.82178217821775</v>
      </c>
      <c r="M81" s="31">
        <f t="shared" si="98"/>
        <v>260.91089108910887</v>
      </c>
    </row>
    <row r="82" spans="2:13" x14ac:dyDescent="0.25">
      <c r="B82" s="5"/>
      <c r="C82" s="18"/>
      <c r="D82" s="10" t="s">
        <v>102</v>
      </c>
      <c r="E82" s="6" t="s">
        <v>17</v>
      </c>
      <c r="F82" s="20">
        <f t="shared" ref="F82:M82" si="101">(1-(F70/(1+F70)))*F60</f>
        <v>12511.111721688758</v>
      </c>
      <c r="G82" s="20">
        <f t="shared" ref="G82" si="102">(1-(G70/(1+G70)))*G60</f>
        <v>6144.8990949210211</v>
      </c>
      <c r="H82" s="20">
        <f t="shared" ref="H82" si="103">(1-(H70/(1+H70)))*H60</f>
        <v>4422.8972124593547</v>
      </c>
      <c r="I82" s="20">
        <f t="shared" si="101"/>
        <v>3118.3576247016476</v>
      </c>
      <c r="J82" s="20">
        <f t="shared" si="101"/>
        <v>1813.8391306996903</v>
      </c>
      <c r="K82" s="20">
        <f t="shared" si="101"/>
        <v>1292.0516785019352</v>
      </c>
      <c r="L82" s="20">
        <f t="shared" si="101"/>
        <v>509.49619681581339</v>
      </c>
      <c r="M82" s="20">
        <f t="shared" si="101"/>
        <v>248.86972172078754</v>
      </c>
    </row>
    <row r="83" spans="2:13" x14ac:dyDescent="0.25">
      <c r="B83" s="5"/>
      <c r="C83" s="18"/>
      <c r="D83" s="57" t="s">
        <v>94</v>
      </c>
      <c r="E83" s="6"/>
      <c r="F83" s="58">
        <f>F81-F82</f>
        <v>12.61105058846988</v>
      </c>
      <c r="G83" s="58">
        <f>G81-G82</f>
        <v>12.597934781948425</v>
      </c>
      <c r="H83" s="58">
        <f>H81-H82</f>
        <v>12.587936055497266</v>
      </c>
      <c r="I83" s="58">
        <f t="shared" ref="I83:M83" si="104">I81-I82</f>
        <v>12.573068367659289</v>
      </c>
      <c r="J83" s="58">
        <f t="shared" si="104"/>
        <v>12.537106924072532</v>
      </c>
      <c r="K83" s="58">
        <f t="shared" si="104"/>
        <v>12.502776943609206</v>
      </c>
      <c r="L83" s="58">
        <f t="shared" si="104"/>
        <v>12.325585362404354</v>
      </c>
      <c r="M83" s="58">
        <f t="shared" si="104"/>
        <v>12.041169368321334</v>
      </c>
    </row>
    <row r="84" spans="2:13" x14ac:dyDescent="0.25">
      <c r="B84" s="5"/>
      <c r="C84" s="18"/>
      <c r="D84" s="10"/>
      <c r="E84" s="6"/>
      <c r="F84" s="20"/>
      <c r="G84" s="20"/>
      <c r="H84" s="20"/>
      <c r="I84" s="20"/>
      <c r="J84" s="20"/>
      <c r="K84" s="20"/>
      <c r="L84" s="20"/>
      <c r="M84" s="20"/>
    </row>
    <row r="85" spans="2:13" x14ac:dyDescent="0.25">
      <c r="B85" s="5"/>
      <c r="C85" s="5"/>
      <c r="D85" s="10" t="s">
        <v>96</v>
      </c>
      <c r="E85" s="6" t="s">
        <v>17</v>
      </c>
      <c r="F85" s="20">
        <f>F61</f>
        <v>125.23722772277227</v>
      </c>
      <c r="G85" s="20">
        <f>G61</f>
        <v>61.574970297029694</v>
      </c>
      <c r="H85" s="20">
        <f>H61</f>
        <v>44.354851485148515</v>
      </c>
      <c r="I85" s="20">
        <f t="shared" ref="I85:M85" si="105">I61</f>
        <v>31.309306930693069</v>
      </c>
      <c r="J85" s="20">
        <f t="shared" si="105"/>
        <v>18.263762376237626</v>
      </c>
      <c r="K85" s="20">
        <f t="shared" si="105"/>
        <v>13.045544554455445</v>
      </c>
      <c r="L85" s="20">
        <f t="shared" si="105"/>
        <v>5.2182178217821775</v>
      </c>
      <c r="M85" s="20">
        <f t="shared" si="105"/>
        <v>2.6091089108910888</v>
      </c>
    </row>
    <row r="86" spans="2:13" x14ac:dyDescent="0.25">
      <c r="B86" s="5"/>
      <c r="C86" s="5"/>
      <c r="D86" s="10" t="s">
        <v>97</v>
      </c>
      <c r="E86" s="6" t="s">
        <v>17</v>
      </c>
      <c r="F86" s="20">
        <f>F5</f>
        <v>12.75</v>
      </c>
      <c r="G86" s="20">
        <f>G5</f>
        <v>12.75</v>
      </c>
      <c r="H86" s="20">
        <f>H5</f>
        <v>12.75</v>
      </c>
      <c r="I86" s="20">
        <f t="shared" ref="I86:M86" si="106">I5</f>
        <v>12.75</v>
      </c>
      <c r="J86" s="20">
        <f t="shared" si="106"/>
        <v>12.75</v>
      </c>
      <c r="K86" s="20">
        <f t="shared" si="106"/>
        <v>12.75</v>
      </c>
      <c r="L86" s="20">
        <f t="shared" si="106"/>
        <v>12.75</v>
      </c>
      <c r="M86" s="20">
        <f t="shared" si="106"/>
        <v>12.75</v>
      </c>
    </row>
    <row r="87" spans="2:13" x14ac:dyDescent="0.25">
      <c r="B87" s="5"/>
      <c r="C87" s="5"/>
      <c r="D87" s="5" t="s">
        <v>98</v>
      </c>
      <c r="E87" s="6" t="s">
        <v>17</v>
      </c>
      <c r="F87" s="20">
        <f t="shared" ref="F87:M87" si="107">(F70/(1+F70))*F60</f>
        <v>137.84827831124213</v>
      </c>
      <c r="G87" s="20">
        <f t="shared" ref="G87" si="108">(G70/(1+G70))*G60</f>
        <v>74.17290507897836</v>
      </c>
      <c r="H87" s="20">
        <f t="shared" ref="H87" si="109">(H70/(1+H70))*H60</f>
        <v>56.942787540645305</v>
      </c>
      <c r="I87" s="20">
        <f t="shared" si="107"/>
        <v>43.882375298352066</v>
      </c>
      <c r="J87" s="20">
        <f t="shared" si="107"/>
        <v>30.800869300310097</v>
      </c>
      <c r="K87" s="20">
        <f t="shared" si="107"/>
        <v>25.548321498064798</v>
      </c>
      <c r="L87" s="20">
        <f t="shared" si="107"/>
        <v>17.543803184186586</v>
      </c>
      <c r="M87" s="20">
        <f t="shared" si="107"/>
        <v>14.650278279212438</v>
      </c>
    </row>
    <row r="88" spans="2:13" x14ac:dyDescent="0.25">
      <c r="B88" s="5"/>
      <c r="C88" s="5"/>
      <c r="D88" s="57" t="s">
        <v>94</v>
      </c>
      <c r="E88" s="6"/>
      <c r="F88" s="58">
        <f>F85+F86-F87</f>
        <v>0.13894941153014884</v>
      </c>
      <c r="G88" s="58">
        <f>G85+G86-G87</f>
        <v>0.15206521805133377</v>
      </c>
      <c r="H88" s="58">
        <f>H85+H86-H87</f>
        <v>0.16206394450320971</v>
      </c>
      <c r="I88" s="58">
        <f t="shared" ref="I88:M88" si="110">I85+I86-I87</f>
        <v>0.1769316323410024</v>
      </c>
      <c r="J88" s="58">
        <f t="shared" si="110"/>
        <v>0.21289307592752849</v>
      </c>
      <c r="K88" s="58">
        <f t="shared" si="110"/>
        <v>0.24722305639064857</v>
      </c>
      <c r="L88" s="58">
        <f t="shared" si="110"/>
        <v>0.42441463759558928</v>
      </c>
      <c r="M88" s="58">
        <f t="shared" si="110"/>
        <v>0.70883063167864968</v>
      </c>
    </row>
    <row r="89" spans="2:13" x14ac:dyDescent="0.25"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  <c r="M89" s="5"/>
    </row>
    <row r="90" spans="2:13" x14ac:dyDescent="0.25">
      <c r="B90" s="5"/>
      <c r="C90" s="5"/>
      <c r="D90" s="10" t="s">
        <v>99</v>
      </c>
      <c r="E90" s="6" t="s">
        <v>17</v>
      </c>
      <c r="F90" s="20">
        <f t="shared" ref="F90:M90" si="111">F3-F5</f>
        <v>2.25</v>
      </c>
      <c r="G90" s="20">
        <f t="shared" ref="G90" si="112">G3-G5</f>
        <v>2.25</v>
      </c>
      <c r="H90" s="20">
        <f t="shared" ref="H90" si="113">H3-H5</f>
        <v>2.25</v>
      </c>
      <c r="I90" s="20">
        <f t="shared" si="111"/>
        <v>2.25</v>
      </c>
      <c r="J90" s="20">
        <f t="shared" si="111"/>
        <v>2.25</v>
      </c>
      <c r="K90" s="20">
        <f t="shared" si="111"/>
        <v>2.25</v>
      </c>
      <c r="L90" s="20">
        <f t="shared" si="111"/>
        <v>2.25</v>
      </c>
      <c r="M90" s="20">
        <f t="shared" si="111"/>
        <v>2.25</v>
      </c>
    </row>
    <row r="91" spans="2:13" x14ac:dyDescent="0.25">
      <c r="B91" s="5"/>
      <c r="C91" s="5"/>
      <c r="D91" s="10" t="s">
        <v>100</v>
      </c>
      <c r="E91" s="6" t="s">
        <v>17</v>
      </c>
      <c r="F91" s="20">
        <f t="shared" ref="F91:M91" si="114">F3-F5</f>
        <v>2.25</v>
      </c>
      <c r="G91" s="20">
        <f t="shared" ref="G91" si="115">G3-G5</f>
        <v>2.25</v>
      </c>
      <c r="H91" s="20">
        <f t="shared" ref="H91" si="116">H3-H5</f>
        <v>2.25</v>
      </c>
      <c r="I91" s="20">
        <f t="shared" si="114"/>
        <v>2.25</v>
      </c>
      <c r="J91" s="20">
        <f t="shared" si="114"/>
        <v>2.25</v>
      </c>
      <c r="K91" s="20">
        <f t="shared" si="114"/>
        <v>2.25</v>
      </c>
      <c r="L91" s="20">
        <f t="shared" si="114"/>
        <v>2.25</v>
      </c>
      <c r="M91" s="20">
        <f t="shared" si="114"/>
        <v>2.25</v>
      </c>
    </row>
    <row r="92" spans="2:13" x14ac:dyDescent="0.25">
      <c r="B92" s="2"/>
      <c r="C92" s="2"/>
      <c r="D92" s="55" t="s">
        <v>94</v>
      </c>
      <c r="E92" s="29"/>
      <c r="F92" s="59">
        <f>F90-F91</f>
        <v>0</v>
      </c>
      <c r="G92" s="59">
        <f>G90-G91</f>
        <v>0</v>
      </c>
      <c r="H92" s="59">
        <f>H90-H91</f>
        <v>0</v>
      </c>
      <c r="I92" s="59">
        <f t="shared" ref="I92:M92" si="117">I90-I91</f>
        <v>0</v>
      </c>
      <c r="J92" s="59">
        <f t="shared" si="117"/>
        <v>0</v>
      </c>
      <c r="K92" s="59">
        <f t="shared" si="117"/>
        <v>0</v>
      </c>
      <c r="L92" s="59">
        <f t="shared" si="117"/>
        <v>0</v>
      </c>
      <c r="M92" s="59">
        <f t="shared" si="117"/>
        <v>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Ameya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</dc:creator>
  <cp:lastModifiedBy>Ameya</cp:lastModifiedBy>
  <cp:lastPrinted>2019-02-16T11:20:17Z</cp:lastPrinted>
  <dcterms:created xsi:type="dcterms:W3CDTF">2019-01-19T06:50:58Z</dcterms:created>
  <dcterms:modified xsi:type="dcterms:W3CDTF">2019-02-17T06:20:32Z</dcterms:modified>
</cp:coreProperties>
</file>